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ffa79540b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4bd982cac619471b"/>
    <x:sheet xmlns:r="http://schemas.openxmlformats.org/officeDocument/2006/relationships" name="Subscriber Plan" sheetId="2" r:id="R06ae67e1b6cb4c8c"/>
    <x:sheet xmlns:r="http://schemas.openxmlformats.org/officeDocument/2006/relationships" name="Revenue Build" sheetId="3" r:id="Rce4b038dce724119"/>
    <x:sheet xmlns:r="http://schemas.openxmlformats.org/officeDocument/2006/relationships" name="Operating Budget" sheetId="4" r:id="R1c1b23cd2fad4d4f"/>
    <x:sheet xmlns:r="http://schemas.openxmlformats.org/officeDocument/2006/relationships" name="Projected P&amp;L" sheetId="5" r:id="R5b895c9e26da4ba8"/>
    <x:sheet xmlns:r="http://schemas.openxmlformats.org/officeDocument/2006/relationships" name="Cash Forecast" sheetId="6" r:id="R176ad289dc634c13"/>
    <x:sheet xmlns:r="http://schemas.openxmlformats.org/officeDocument/2006/relationships" name="Dashboard" sheetId="7" r:id="R1854c6e43b6b43a2"/>
    <x:sheet xmlns:r="http://schemas.openxmlformats.org/officeDocument/2006/relationships" name="BD Handoff" sheetId="8" r:id="R4834b2295406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d, yyyy"/>
    <x:numFmt numFmtId="201" formatCode="$#,##0;[Red]($#,##0);-"/>
    <x:numFmt numFmtId="202" formatCode="$#,##0.00;[Red]($#,##0.00);-"/>
    <x:numFmt numFmtId="203" formatCode="0.0%;[Red](0.0%);-"/>
    <x:numFmt numFmtId="204" formatCode="0 &quot;days&quot;"/>
    <x:numFmt numFmtId="205" formatCode="mmm-yy"/>
    <x:numFmt numFmtId="206" formatCode="#,##0;[Red](#,##0);-"/>
    <x:numFmt numFmtId="207" formatCode="0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A1A1A"/>
      <x:name val="Carlito"/>
    </x:font>
    <x:font>
      <x:i/>
      <x:sz val="11"/>
      <x:color rgb="FF1A1A1A"/>
      <x:name val="Carlito"/>
    </x:font>
    <x:font>
      <x:b/>
      <x:sz val="11"/>
      <x:color rgb="FF008000"/>
      <x:name val="Carlito"/>
    </x:font>
    <x:font>
      <x:b/>
      <x:sz val="16"/>
      <x:color rgb="FF0080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6B728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A1A1A"/>
      <x:name val="Arial"/>
    </x:font>
    <x:font>
      <x:i/>
      <x:sz val="10"/>
      <x:color rgb="FF1A1A1A"/>
      <x:name val="Arial"/>
    </x:font>
    <x:font>
      <x:b/>
      <x:sz val="10"/>
      <x:color rgb="FF008000"/>
      <x:name val="Arial"/>
    </x:font>
    <x:font>
      <x:b/>
      <x:sz val="16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F0F0F0"/>
      </x:patternFill>
    </x:fill>
    <x:fill>
      <x:patternFill patternType="solid">
        <x:fgColor rgb="FF1F2937"/>
      </x:patternFill>
    </x:fill>
    <x:fill>
      <x:patternFill patternType="solid">
        <x:fgColor rgb="FFDC262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0" fontId="4" fillId="6" borderId="1" xfId="0" applyNumberFormat="1" applyFont="1" applyFill="1" applyBorder="1"/>
    <x:xf numFmtId="201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4" fillId="6" borderId="0" xfId="0" applyNumberFormat="1" applyFont="1" applyFill="1" applyBorder="1"/>
    <x:xf numFmtId="202" fontId="0" fillId="0" borderId="0" xfId="0" applyNumberFormat="1" applyFont="1" applyFill="1" applyBorder="1"/>
    <x:xf numFmtId="202" fontId="4" fillId="6" borderId="1" xfId="0" applyNumberFormat="1" applyFont="1" applyFill="1" applyBorder="1"/>
    <x:xf numFmtId="202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0" fillId="0" borderId="0" xfId="0" applyNumberFormat="1" applyFont="1" applyFill="1" applyBorder="1"/>
    <x:xf numFmtId="203" fontId="4" fillId="0" borderId="1" xfId="0" applyNumberFormat="1" applyFont="1" applyFill="1" applyBorder="1"/>
    <x:xf numFmtId="203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2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3" fillId="5" borderId="0" xfId="0" applyNumberFormat="1" applyFont="1" applyFill="1" applyBorder="1" applyAlignment="1">
      <x:alignment horizontal="center" vertical="center" wrapText="1"/>
    </x:xf>
    <x:xf numFmtId="205" fontId="3" fillId="5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6" fontId="5" fillId="0" borderId="0" xfId="0" applyNumberFormat="1" applyFont="1" applyFill="1" applyBorder="1"/>
    <x:xf numFmtId="206" fontId="6" fillId="3" borderId="0" xfId="0" applyNumberFormat="1" applyFont="1" applyFill="1" applyBorder="1"/>
    <x:xf numFmtId="206" fontId="5" fillId="0" borderId="1" xfId="0" applyNumberFormat="1" applyFont="1" applyFill="1" applyBorder="1"/>
    <x:xf numFmtId="206" fontId="6" fillId="3" borderId="1" xfId="0" applyNumberFormat="1" applyFont="1" applyFill="1" applyBorder="1"/>
    <x:xf numFmtId="206" fontId="4" fillId="0" borderId="0" xfId="0" applyNumberFormat="1" applyFont="1" applyFill="1" applyBorder="1"/>
    <x:xf numFmtId="206" fontId="0" fillId="0" borderId="0" xfId="0" applyNumberFormat="1" applyFont="1" applyFill="1" applyBorder="1"/>
    <x:xf numFmtId="206" fontId="3" fillId="4" borderId="0" xfId="0" applyNumberFormat="1" applyFont="1" applyFill="1" applyBorder="1" applyAlignment="1">
      <x:alignment horizontal="left" vertical="center"/>
    </x:xf>
    <x:xf numFmtId="206" fontId="4" fillId="0" borderId="1" xfId="0" applyNumberFormat="1" applyFont="1" applyFill="1" applyBorder="1"/>
    <x:xf numFmtId="206" fontId="0" fillId="0" borderId="1" xfId="0" applyNumberFormat="1" applyFont="1" applyFill="1" applyBorder="1"/>
    <x:xf numFmtId="206" fontId="3" fillId="4" borderId="1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201" fontId="5" fillId="0" borderId="0" xfId="0" applyNumberFormat="1" applyFont="1" applyFill="1" applyBorder="1"/>
    <x:xf numFmtId="201" fontId="8" fillId="3" borderId="0" xfId="0" applyNumberFormat="1" applyFont="1" applyFill="1" applyBorder="1"/>
    <x:xf numFmtId="201" fontId="5" fillId="0" borderId="1" xfId="0" applyNumberFormat="1" applyFont="1" applyFill="1" applyBorder="1"/>
    <x:xf numFmtId="201" fontId="8" fillId="3" borderId="1" xfId="0" applyNumberFormat="1" applyFont="1" applyFill="1" applyBorder="1"/>
    <x:xf numFmtId="201" fontId="0" fillId="0" borderId="0" xfId="0" applyNumberFormat="1" applyFont="1" applyFill="1" applyBorder="1"/>
    <x:xf numFmtId="201" fontId="6" fillId="3" borderId="0" xfId="0" applyNumberFormat="1" applyFont="1" applyFill="1" applyBorder="1"/>
    <x:xf numFmtId="201" fontId="3" fillId="4" borderId="0" xfId="0" applyNumberFormat="1" applyFont="1" applyFill="1" applyBorder="1" applyAlignment="1">
      <x:alignment horizontal="left" vertical="center"/>
    </x:xf>
    <x:xf numFmtId="201" fontId="0" fillId="0" borderId="1" xfId="0" applyNumberFormat="1" applyFont="1" applyFill="1" applyBorder="1"/>
    <x:xf numFmtId="201" fontId="6" fillId="3" borderId="1" xfId="0" applyNumberFormat="1" applyFont="1" applyFill="1" applyBorder="1"/>
    <x:xf numFmtId="201" fontId="3" fillId="4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1" fontId="6" fillId="3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201" fontId="6" fillId="3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201" fontId="6" fillId="8" borderId="0" xfId="0" applyNumberFormat="1" applyFont="1" applyFill="1" applyBorder="1"/>
    <x:xf numFmtId="201" fontId="6" fillId="8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center" vertical="center"/>
    </x:xf>
    <x:xf numFmtId="201" fontId="9" fillId="9" borderId="0" xfId="0" applyNumberFormat="1" applyFont="1" applyFill="1" applyBorder="1" applyAlignment="1">
      <x:alignment horizontal="center" vertical="center"/>
    </x:xf>
    <x:xf numFmtId="201" fontId="9" fillId="9" borderId="1" xfId="0" applyNumberFormat="1" applyFont="1" applyFill="1" applyBorder="1" applyAlignment="1">
      <x:alignment horizontal="center" vertical="center"/>
    </x:xf>
    <x:xf numFmtId="203" fontId="9" fillId="9" borderId="0" xfId="0" applyNumberFormat="1" applyFont="1" applyFill="1" applyBorder="1" applyAlignment="1">
      <x:alignment horizontal="center" vertical="center"/>
    </x:xf>
    <x:xf numFmtId="203" fontId="9" fillId="9" borderId="1" xfId="0" applyNumberFormat="1" applyFont="1" applyFill="1" applyBorder="1" applyAlignment="1">
      <x:alignment horizontal="center" vertical="center"/>
    </x:xf>
    <x:xf numFmtId="206" fontId="9" fillId="9" borderId="0" xfId="0" applyNumberFormat="1" applyFont="1" applyFill="1" applyBorder="1" applyAlignment="1">
      <x:alignment horizontal="center" vertical="center"/>
    </x:xf>
    <x:xf numFmtId="206" fontId="9" fillId="9" borderId="1" xfId="0" applyNumberFormat="1" applyFont="1" applyFill="1" applyBorder="1" applyAlignment="1">
      <x:alignment horizontal="center" vertical="center"/>
    </x:xf>
    <x:xf numFmtId="205" fontId="9" fillId="9" borderId="0" xfId="0" applyNumberFormat="1" applyFont="1" applyFill="1" applyBorder="1" applyAlignment="1">
      <x:alignment horizontal="center" vertical="center"/>
    </x:xf>
    <x:xf numFmtId="205" fontId="9" fillId="9" borderId="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6" fontId="5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wrapText="1"/>
    </x:xf>
    <x:xf numFmtId="200" fontId="13" fillId="6" borderId="0" xfId="0" applyNumberFormat="1" applyFont="1" applyFill="1" applyBorder="1" applyAlignment="1">
      <x:alignment wrapText="1"/>
    </x:xf>
    <x:xf numFmtId="201" fontId="13" fillId="6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202" fontId="13" fillId="6" borderId="0" xfId="0" applyNumberFormat="1" applyFont="1" applyFill="1" applyBorder="1" applyAlignment="1">
      <x:alignment wrapText="1"/>
    </x:xf>
    <x:xf numFmtId="202" fontId="11" fillId="0" borderId="0" xfId="0" applyNumberFormat="1" applyFont="1" applyFill="1" applyBorder="1" applyAlignment="1">
      <x:alignment wrapText="1"/>
    </x:xf>
    <x:xf numFmtId="203" fontId="13" fillId="0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 applyAlignment="1">
      <x:alignment wrapText="1"/>
    </x:xf>
    <x:xf numFmtId="202" fontId="13" fillId="0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left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0" fontId="13" fillId="0" borderId="1" xfId="0" applyNumberFormat="1" applyFont="1" applyFill="1" applyBorder="1" applyAlignment="1">
      <x:alignment wrapText="1"/>
    </x:xf>
    <x:xf numFmtId="200" fontId="13" fillId="6" borderId="1" xfId="0" applyNumberFormat="1" applyFont="1" applyFill="1" applyBorder="1" applyAlignment="1">
      <x:alignment wrapText="1"/>
    </x:xf>
    <x:xf numFmtId="201" fontId="13" fillId="6" borderId="1" xfId="0" applyNumberFormat="1" applyFont="1" applyFill="1" applyBorder="1" applyAlignment="1">
      <x:alignment wrapText="1"/>
    </x:xf>
    <x:xf numFmtId="201" fontId="13" fillId="0" borderId="1" xfId="0" applyNumberFormat="1" applyFont="1" applyFill="1" applyBorder="1" applyAlignment="1">
      <x:alignment wrapText="1"/>
    </x:xf>
    <x:xf numFmtId="0" fontId="13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wrapText="1"/>
    </x:xf>
    <x:xf numFmtId="202" fontId="13" fillId="6" borderId="1" xfId="0" applyNumberFormat="1" applyFont="1" applyFill="1" applyBorder="1" applyAlignment="1">
      <x:alignment wrapText="1"/>
    </x:xf>
    <x:xf numFmtId="202" fontId="11" fillId="0" borderId="1" xfId="0" applyNumberFormat="1" applyFont="1" applyFill="1" applyBorder="1" applyAlignment="1">
      <x:alignment wrapText="1"/>
    </x:xf>
    <x:xf numFmtId="203" fontId="13" fillId="0" borderId="1" xfId="0" applyNumberFormat="1" applyFont="1" applyFill="1" applyBorder="1" applyAlignment="1">
      <x:alignment wrapText="1"/>
    </x:xf>
    <x:xf numFmtId="203" fontId="11" fillId="0" borderId="1" xfId="0" applyNumberFormat="1" applyFont="1" applyFill="1" applyBorder="1" applyAlignment="1">
      <x:alignment wrapText="1"/>
    </x:xf>
    <x:xf numFmtId="202" fontId="13" fillId="0" borderId="1" xfId="0" applyNumberFormat="1" applyFont="1" applyFill="1" applyBorder="1" applyAlignment="1">
      <x:alignment wrapText="1"/>
    </x:xf>
    <x:xf numFmtId="204" fontId="13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200" fontId="13" fillId="6" borderId="0" xfId="0" applyNumberFormat="1" applyFont="1" applyFill="1" applyBorder="1" applyAlignment="1">
      <x:alignment vertical="center" wrapText="1"/>
    </x:xf>
    <x:xf numFmtId="201" fontId="13" fillId="6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202" fontId="13" fillId="6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1"/>
    </x:xf>
    <x:xf numFmtId="204" fontId="13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200" fontId="13" fillId="6" borderId="1" xfId="0" applyNumberFormat="1" applyFont="1" applyFill="1" applyBorder="1" applyAlignment="1">
      <x:alignment vertical="center" wrapText="1"/>
    </x:xf>
    <x:xf numFmtId="201" fontId="13" fillId="6" borderId="1" xfId="0" applyNumberFormat="1" applyFont="1" applyFill="1" applyBorder="1" applyAlignment="1">
      <x:alignment vertical="center" wrapText="1"/>
    </x:xf>
    <x:xf numFmtId="201" fontId="13" fillId="0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202" fontId="13" fillId="6" borderId="1" xfId="0" applyNumberFormat="1" applyFont="1" applyFill="1" applyBorder="1" applyAlignment="1">
      <x:alignment vertical="center" wrapText="1"/>
    </x:xf>
    <x:xf numFmtId="202" fontId="11" fillId="0" borderId="1" xfId="0" applyNumberFormat="1" applyFont="1" applyFill="1" applyBorder="1" applyAlignment="1">
      <x:alignment vertical="center" wrapText="1"/>
    </x:xf>
    <x:xf numFmtId="203" fontId="13" fillId="0" borderId="1" xfId="0" applyNumberFormat="1" applyFont="1" applyFill="1" applyBorder="1" applyAlignment="1">
      <x:alignment vertical="center" wrapText="1"/>
    </x:xf>
    <x:xf numFmtId="203" fontId="11" fillId="0" borderId="1" xfId="0" applyNumberFormat="1" applyFont="1" applyFill="1" applyBorder="1" applyAlignment="1">
      <x:alignment vertical="center" wrapText="1"/>
    </x:xf>
    <x:xf numFmtId="202" fontId="13" fillId="0" borderId="1" xfId="0" applyNumberFormat="1" applyFont="1" applyFill="1" applyBorder="1" applyAlignment="1">
      <x:alignment vertical="center" wrapText="1"/>
    </x:xf>
    <x:xf numFmtId="204" fontId="13" fillId="0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/>
    <x:xf numFmtId="0" fontId="14" fillId="0" borderId="0" xfId="0" applyNumberFormat="1" applyFont="1" applyFill="1" applyBorder="1"/>
    <x:xf numFmtId="205" fontId="10" fillId="5" borderId="0" xfId="0" applyNumberFormat="1" applyFont="1" applyFill="1" applyBorder="1" applyAlignment="1">
      <x:alignment horizontal="center" vertical="center" wrapText="1"/>
    </x:xf>
    <x:xf numFmtId="206" fontId="14" fillId="0" borderId="0" xfId="0" applyNumberFormat="1" applyFont="1" applyFill="1" applyBorder="1"/>
    <x:xf numFmtId="0" fontId="15" fillId="3" borderId="0" xfId="0" applyNumberFormat="1" applyFont="1" applyFill="1" applyBorder="1"/>
    <x:xf numFmtId="206" fontId="15" fillId="3" borderId="0" xfId="0" applyNumberFormat="1" applyFont="1" applyFill="1" applyBorder="1"/>
    <x:xf numFmtId="0" fontId="10" fillId="4" borderId="0" xfId="0" applyNumberFormat="1" applyFont="1" applyFill="1" applyBorder="1" applyAlignment="1">
      <x:alignment horizontal="left" vertical="center"/>
    </x:xf>
    <x:xf numFmtId="206" fontId="13" fillId="0" borderId="0" xfId="0" applyNumberFormat="1" applyFont="1" applyFill="1" applyBorder="1"/>
    <x:xf numFmtId="206" fontId="11" fillId="0" borderId="0" xfId="0" applyNumberFormat="1" applyFont="1" applyFill="1" applyBorder="1"/>
    <x:xf numFmtId="206" fontId="10" fillId="4" borderId="0" xfId="0" applyNumberFormat="1" applyFont="1" applyFill="1" applyBorder="1" applyAlignment="1">
      <x:alignment horizontal="left" vertical="center"/>
    </x:xf>
    <x:xf numFmtId="0" fontId="10" fillId="2" borderId="1" xfId="0" applyNumberFormat="1" applyFont="1" applyFill="1" applyBorder="1" applyAlignment="1">
      <x:alignment horizontal="left" vertical="center"/>
    </x:xf>
    <x:xf numFmtId="0" fontId="12" fillId="3" borderId="1" xfId="0" applyNumberFormat="1" applyFont="1" applyFill="1" applyBorder="1"/>
    <x:xf numFmtId="0" fontId="14" fillId="0" borderId="1" xfId="0" applyNumberFormat="1" applyFont="1" applyFill="1" applyBorder="1"/>
    <x:xf numFmtId="205" fontId="10" fillId="5" borderId="1" xfId="0" applyNumberFormat="1" applyFont="1" applyFill="1" applyBorder="1" applyAlignment="1">
      <x:alignment horizontal="center" vertical="center" wrapText="1"/>
    </x:xf>
    <x:xf numFmtId="206" fontId="14" fillId="0" borderId="1" xfId="0" applyNumberFormat="1" applyFont="1" applyFill="1" applyBorder="1"/>
    <x:xf numFmtId="0" fontId="15" fillId="3" borderId="1" xfId="0" applyNumberFormat="1" applyFont="1" applyFill="1" applyBorder="1"/>
    <x:xf numFmtId="206" fontId="15" fillId="3" borderId="1" xfId="0" applyNumberFormat="1" applyFont="1" applyFill="1" applyBorder="1"/>
    <x:xf numFmtId="0" fontId="10" fillId="4" borderId="1" xfId="0" applyNumberFormat="1" applyFont="1" applyFill="1" applyBorder="1" applyAlignment="1">
      <x:alignment horizontal="left" vertical="center"/>
    </x:xf>
    <x:xf numFmtId="206" fontId="13" fillId="0" borderId="1" xfId="0" applyNumberFormat="1" applyFont="1" applyFill="1" applyBorder="1"/>
    <x:xf numFmtId="206" fontId="11" fillId="0" borderId="1" xfId="0" applyNumberFormat="1" applyFont="1" applyFill="1" applyBorder="1"/>
    <x:xf numFmtId="206" fontId="10" fillId="4" borderId="1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6" fontId="14" fillId="0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206" fontId="15" fillId="3" borderId="0" xfId="0" applyNumberFormat="1" applyFont="1" applyFill="1" applyBorder="1" applyAlignment="1">
      <x:alignment vertical="center"/>
    </x:xf>
    <x:xf numFmtId="206" fontId="13" fillId="0" borderId="0" xfId="0" applyNumberFormat="1" applyFont="1" applyFill="1" applyBorder="1" applyAlignment="1">
      <x:alignment vertical="center"/>
    </x:xf>
    <x:xf numFmtId="206" fontId="11" fillId="0" borderId="0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4" fillId="0" borderId="1" xfId="0" applyNumberFormat="1" applyFont="1" applyFill="1" applyBorder="1" applyAlignment="1">
      <x:alignment vertical="center"/>
    </x:xf>
    <x:xf numFmtId="206" fontId="14" fillId="0" borderId="1" xfId="0" applyNumberFormat="1" applyFont="1" applyFill="1" applyBorder="1" applyAlignment="1">
      <x:alignment vertical="center"/>
    </x:xf>
    <x:xf numFmtId="0" fontId="15" fillId="3" borderId="1" xfId="0" applyNumberFormat="1" applyFont="1" applyFill="1" applyBorder="1" applyAlignment="1">
      <x:alignment vertical="center"/>
    </x:xf>
    <x:xf numFmtId="206" fontId="15" fillId="3" borderId="1" xfId="0" applyNumberFormat="1" applyFont="1" applyFill="1" applyBorder="1" applyAlignment="1">
      <x:alignment vertical="center"/>
    </x:xf>
    <x:xf numFmtId="206" fontId="13" fillId="0" borderId="1" xfId="0" applyNumberFormat="1" applyFont="1" applyFill="1" applyBorder="1" applyAlignment="1">
      <x:alignment vertical="center"/>
    </x:xf>
    <x:xf numFmtId="206" fontId="11" fillId="0" borderId="1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/>
    <x:xf numFmtId="201" fontId="17" fillId="3" borderId="0" xfId="0" applyNumberFormat="1" applyFont="1" applyFill="1" applyBorder="1"/>
    <x:xf numFmtId="0" fontId="16" fillId="6" borderId="1" xfId="0" applyNumberFormat="1" applyFont="1" applyFill="1" applyBorder="1" applyAlignment="1">
      <x:alignment wrapText="1"/>
    </x:xf>
    <x:xf numFmtId="201" fontId="14" fillId="0" borderId="1" xfId="0" applyNumberFormat="1" applyFont="1" applyFill="1" applyBorder="1"/>
    <x:xf numFmtId="201" fontId="17" fillId="3" borderId="1" xfId="0" applyNumberFormat="1" applyFont="1" applyFill="1" applyBorder="1"/>
    <x:xf numFmtId="0" fontId="16" fillId="6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/>
    </x:xf>
    <x:xf numFmtId="201" fontId="17" fillId="3" borderId="0" xfId="0" applyNumberFormat="1" applyFont="1" applyFill="1" applyBorder="1" applyAlignment="1">
      <x:alignment vertical="center"/>
    </x:xf>
    <x:xf numFmtId="0" fontId="16" fillId="6" borderId="1" xfId="0" applyNumberFormat="1" applyFont="1" applyFill="1" applyBorder="1" applyAlignment="1">
      <x:alignment vertical="center" wrapText="1"/>
    </x:xf>
    <x:xf numFmtId="201" fontId="14" fillId="0" borderId="1" xfId="0" applyNumberFormat="1" applyFont="1" applyFill="1" applyBorder="1" applyAlignment="1">
      <x:alignment vertical="center"/>
    </x:xf>
    <x:xf numFmtId="201" fontId="17" fillId="3" borderId="1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201" fontId="15" fillId="3" borderId="0" xfId="0" applyNumberFormat="1" applyFont="1" applyFill="1" applyBorder="1" applyAlignment="1">
      <x:alignment wrapText="1"/>
    </x:xf>
    <x:xf numFmtId="201" fontId="10" fillId="4" borderId="0" xfId="0" applyNumberFormat="1" applyFont="1" applyFill="1" applyBorder="1" applyAlignment="1">
      <x:alignment horizontal="left" vertical="center" wrapText="1"/>
    </x:xf>
    <x:xf numFmtId="201" fontId="11" fillId="0" borderId="1" xfId="0" applyNumberFormat="1" applyFont="1" applyFill="1" applyBorder="1" applyAlignment="1">
      <x:alignment wrapText="1"/>
    </x:xf>
    <x:xf numFmtId="201" fontId="14" fillId="0" borderId="1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wrapText="1"/>
    </x:xf>
    <x:xf numFmtId="201" fontId="15" fillId="3" borderId="1" xfId="0" applyNumberFormat="1" applyFont="1" applyFill="1" applyBorder="1" applyAlignment="1">
      <x:alignment wrapText="1"/>
    </x:xf>
    <x:xf numFmtId="201" fontId="10" fillId="4" borderId="1" xfId="0" applyNumberFormat="1" applyFont="1" applyFill="1" applyBorder="1" applyAlignment="1">
      <x:alignment horizontal="left"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201" fontId="15" fillId="3" borderId="0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center" wrapText="1"/>
    </x:xf>
    <x:xf numFmtId="201" fontId="14" fillId="0" borderId="1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 applyAlignment="1">
      <x:alignment vertical="center" wrapText="1"/>
    </x:xf>
    <x:xf numFmtId="201" fontId="15" fillId="3" borderId="1" xfId="0" applyNumberFormat="1" applyFont="1" applyFill="1" applyBorder="1" applyAlignment="1">
      <x:alignment vertical="center" wrapText="1"/>
    </x:xf>
    <x:xf numFmtId="201" fontId="15" fillId="3" borderId="0" xfId="0" applyNumberFormat="1" applyFont="1" applyFill="1" applyBorder="1"/>
    <x:xf numFmtId="201" fontId="11" fillId="0" borderId="0" xfId="0" applyNumberFormat="1" applyFont="1" applyFill="1" applyBorder="1"/>
    <x:xf numFmtId="201" fontId="10" fillId="4" borderId="0" xfId="0" applyNumberFormat="1" applyFont="1" applyFill="1" applyBorder="1" applyAlignment="1">
      <x:alignment horizontal="left" vertical="center"/>
    </x:xf>
    <x:xf numFmtId="0" fontId="15" fillId="7" borderId="0" xfId="0" applyNumberFormat="1" applyFont="1" applyFill="1" applyBorder="1"/>
    <x:xf numFmtId="201" fontId="15" fillId="7" borderId="0" xfId="0" applyNumberFormat="1" applyFont="1" applyFill="1" applyBorder="1"/>
    <x:xf numFmtId="203" fontId="11" fillId="0" borderId="0" xfId="0" applyNumberFormat="1" applyFont="1" applyFill="1" applyBorder="1"/>
    <x:xf numFmtId="0" fontId="15" fillId="8" borderId="0" xfId="0" applyNumberFormat="1" applyFont="1" applyFill="1" applyBorder="1"/>
    <x:xf numFmtId="201" fontId="15" fillId="8" borderId="0" xfId="0" applyNumberFormat="1" applyFont="1" applyFill="1" applyBorder="1"/>
    <x:xf numFmtId="207" fontId="11" fillId="0" borderId="0" xfId="0" applyNumberFormat="1" applyFont="1" applyFill="1" applyBorder="1"/>
    <x:xf numFmtId="201" fontId="15" fillId="3" borderId="1" xfId="0" applyNumberFormat="1" applyFont="1" applyFill="1" applyBorder="1"/>
    <x:xf numFmtId="201" fontId="11" fillId="0" borderId="1" xfId="0" applyNumberFormat="1" applyFont="1" applyFill="1" applyBorder="1"/>
    <x:xf numFmtId="201" fontId="10" fillId="4" borderId="1" xfId="0" applyNumberFormat="1" applyFont="1" applyFill="1" applyBorder="1" applyAlignment="1">
      <x:alignment horizontal="left" vertical="center"/>
    </x:xf>
    <x:xf numFmtId="0" fontId="15" fillId="7" borderId="1" xfId="0" applyNumberFormat="1" applyFont="1" applyFill="1" applyBorder="1"/>
    <x:xf numFmtId="201" fontId="15" fillId="7" borderId="1" xfId="0" applyNumberFormat="1" applyFont="1" applyFill="1" applyBorder="1"/>
    <x:xf numFmtId="203" fontId="11" fillId="0" borderId="1" xfId="0" applyNumberFormat="1" applyFont="1" applyFill="1" applyBorder="1"/>
    <x:xf numFmtId="0" fontId="15" fillId="8" borderId="1" xfId="0" applyNumberFormat="1" applyFont="1" applyFill="1" applyBorder="1"/>
    <x:xf numFmtId="201" fontId="15" fillId="8" borderId="1" xfId="0" applyNumberFormat="1" applyFont="1" applyFill="1" applyBorder="1"/>
    <x:xf numFmtId="207" fontId="11" fillId="0" borderId="1" xfId="0" applyNumberFormat="1" applyFont="1" applyFill="1" applyBorder="1"/>
    <x:xf numFmtId="201" fontId="15" fillId="3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201" fontId="15" fillId="7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201" fontId="15" fillId="8" borderId="0" xfId="0" applyNumberFormat="1" applyFont="1" applyFill="1" applyBorder="1" applyAlignment="1">
      <x:alignment vertical="center"/>
    </x:xf>
    <x:xf numFmtId="207" fontId="11" fillId="0" borderId="0" xfId="0" applyNumberFormat="1" applyFont="1" applyFill="1" applyBorder="1" applyAlignment="1">
      <x:alignment vertical="center"/>
    </x:xf>
    <x:xf numFmtId="201" fontId="15" fillId="3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0" fontId="15" fillId="7" borderId="1" xfId="0" applyNumberFormat="1" applyFont="1" applyFill="1" applyBorder="1" applyAlignment="1">
      <x:alignment vertical="center"/>
    </x:xf>
    <x:xf numFmtId="201" fontId="15" fillId="7" borderId="1" xfId="0" applyNumberFormat="1" applyFont="1" applyFill="1" applyBorder="1" applyAlignment="1">
      <x:alignment vertical="center"/>
    </x:xf>
    <x:xf numFmtId="203" fontId="11" fillId="0" borderId="1" xfId="0" applyNumberFormat="1" applyFont="1" applyFill="1" applyBorder="1" applyAlignment="1">
      <x:alignment vertical="center"/>
    </x:xf>
    <x:xf numFmtId="0" fontId="15" fillId="8" borderId="1" xfId="0" applyNumberFormat="1" applyFont="1" applyFill="1" applyBorder="1" applyAlignment="1">
      <x:alignment vertical="center"/>
    </x:xf>
    <x:xf numFmtId="201" fontId="15" fillId="8" borderId="1" xfId="0" applyNumberFormat="1" applyFont="1" applyFill="1" applyBorder="1" applyAlignment="1">
      <x:alignment vertical="center"/>
    </x:xf>
    <x:xf numFmtId="207" fontId="11" fillId="0" borderId="1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/>
    <x:xf numFmtId="0" fontId="15" fillId="6" borderId="0" xfId="0" applyNumberFormat="1" applyFont="1" applyFill="1" applyBorder="1"/>
    <x:xf numFmtId="201" fontId="15" fillId="6" borderId="0" xfId="0" applyNumberFormat="1" applyFont="1" applyFill="1" applyBorder="1"/>
    <x:xf numFmtId="201" fontId="13" fillId="0" borderId="1" xfId="0" applyNumberFormat="1" applyFont="1" applyFill="1" applyBorder="1"/>
    <x:xf numFmtId="0" fontId="15" fillId="6" borderId="1" xfId="0" applyNumberFormat="1" applyFont="1" applyFill="1" applyBorder="1"/>
    <x:xf numFmtId="201" fontId="15" fillId="6" borderId="1" xfId="0" applyNumberFormat="1" applyFont="1" applyFill="1" applyBorder="1"/>
    <x:xf numFmtId="201" fontId="13" fillId="0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/>
    </x:xf>
    <x:xf numFmtId="201" fontId="15" fillId="6" borderId="0" xfId="0" applyNumberFormat="1" applyFont="1" applyFill="1" applyBorder="1" applyAlignment="1">
      <x:alignment vertical="center"/>
    </x:xf>
    <x:xf numFmtId="201" fontId="13" fillId="0" borderId="1" xfId="0" applyNumberFormat="1" applyFont="1" applyFill="1" applyBorder="1" applyAlignment="1">
      <x:alignment vertical="center"/>
    </x:xf>
    <x:xf numFmtId="0" fontId="15" fillId="6" borderId="1" xfId="0" applyNumberFormat="1" applyFont="1" applyFill="1" applyBorder="1" applyAlignment="1">
      <x:alignment vertical="center"/>
    </x:xf>
    <x:xf numFmtId="201" fontId="15" fillId="6" borderId="1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horizontal="center"/>
    </x:xf>
    <x:xf numFmtId="201" fontId="17" fillId="9" borderId="0" xfId="0" applyNumberFormat="1" applyFont="1" applyFill="1" applyBorder="1" applyAlignment="1">
      <x:alignment horizontal="center" vertical="center"/>
    </x:xf>
    <x:xf numFmtId="0" fontId="17" fillId="9" borderId="0" xfId="0" applyNumberFormat="1" applyFont="1" applyFill="1" applyBorder="1" applyAlignment="1">
      <x:alignment horizontal="center" vertical="center"/>
    </x:xf>
    <x:xf numFmtId="203" fontId="17" fillId="9" borderId="0" xfId="0" applyNumberFormat="1" applyFont="1" applyFill="1" applyBorder="1" applyAlignment="1">
      <x:alignment horizontal="center" vertical="center"/>
    </x:xf>
    <x:xf numFmtId="206" fontId="17" fillId="9" borderId="0" xfId="0" applyNumberFormat="1" applyFont="1" applyFill="1" applyBorder="1" applyAlignment="1">
      <x:alignment horizontal="center" vertical="center"/>
    </x:xf>
    <x:xf numFmtId="205" fontId="17" fillId="9" borderId="0" xfId="0" applyNumberFormat="1" applyFont="1" applyFill="1" applyBorder="1" applyAlignment="1">
      <x:alignment horizontal="center" vertical="center"/>
    </x:xf>
    <x:xf numFmtId="205" fontId="11" fillId="0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/>
    </x:xf>
    <x:xf numFmtId="201" fontId="17" fillId="9" borderId="1" xfId="0" applyNumberFormat="1" applyFont="1" applyFill="1" applyBorder="1" applyAlignment="1">
      <x:alignment horizontal="center" vertical="center"/>
    </x:xf>
    <x:xf numFmtId="0" fontId="17" fillId="9" borderId="1" xfId="0" applyNumberFormat="1" applyFont="1" applyFill="1" applyBorder="1" applyAlignment="1">
      <x:alignment horizontal="center" vertical="center"/>
    </x:xf>
    <x:xf numFmtId="203" fontId="17" fillId="9" borderId="1" xfId="0" applyNumberFormat="1" applyFont="1" applyFill="1" applyBorder="1" applyAlignment="1">
      <x:alignment horizontal="center" vertical="center"/>
    </x:xf>
    <x:xf numFmtId="206" fontId="17" fillId="9" borderId="1" xfId="0" applyNumberFormat="1" applyFont="1" applyFill="1" applyBorder="1" applyAlignment="1">
      <x:alignment horizontal="center" vertical="center"/>
    </x:xf>
    <x:xf numFmtId="205" fontId="17" fillId="9" borderId="1" xfId="0" applyNumberFormat="1" applyFont="1" applyFill="1" applyBorder="1" applyAlignment="1">
      <x:alignment horizontal="center" vertical="center"/>
    </x:xf>
    <x:xf numFmtId="205" fontId="11" fillId="0" borderId="1" xfId="0" applyNumberFormat="1" applyFont="1" applyFill="1" applyBorder="1"/>
    <x:xf numFmtId="0" fontId="15" fillId="9" borderId="1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vertical="center"/>
    </x:xf>
    <x:xf numFmtId="205" fontId="11" fillId="0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/>
    </x:xf>
    <x:xf numFmtId="205" fontId="11" fillId="0" borderId="1" xfId="0" applyNumberFormat="1" applyFont="1" applyFill="1" applyBorder="1" applyAlignment="1">
      <x:alignment vertical="center"/>
    </x:xf>
    <x:xf numFmtId="0" fontId="15" fillId="9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wrapText="1"/>
    </x:xf>
    <x:xf numFmtId="206" fontId="14" fillId="0" borderId="0" xfId="0" applyNumberFormat="1" applyFont="1" applyFill="1" applyBorder="1" applyAlignment="1">
      <x:alignment wrapText="1"/>
    </x:xf>
    <x:xf numFmtId="0" fontId="15" fillId="6" borderId="1" xfId="0" applyNumberFormat="1" applyFont="1" applyFill="1" applyBorder="1" applyAlignment="1">
      <x:alignment wrapText="1"/>
    </x:xf>
    <x:xf numFmtId="206" fontId="14" fillId="0" borderId="1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206" fontId="14" fillId="0" borderId="0" xfId="0" applyNumberFormat="1" applyFont="1" applyFill="1" applyBorder="1" applyAlignment="1">
      <x:alignment vertical="center" wrapText="1"/>
    </x:xf>
    <x:xf numFmtId="0" fontId="15" fillId="6" borderId="1" xfId="0" applyNumberFormat="1" applyFont="1" applyFill="1" applyBorder="1" applyAlignment="1">
      <x:alignment vertical="center" wrapText="1"/>
    </x:xf>
    <x:xf numFmtId="206" fontId="14" fillId="0" borderId="1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 applyAlignment="1">
      <x:alignment horizontal="left" vertical="center" wrapText="1"/>
    </x:xf>
    <x:xf numFmtId="0" fontId="18" fillId="2" borderId="1" xfId="0" applyNumberFormat="1" applyFont="1" applyFill="1" applyBorder="1" applyAlignment="1">
      <x:alignment horizontal="left" vertical="center" wrapText="1"/>
    </x:xf>
    <x:xf numFmtId="0" fontId="18" fillId="2" borderId="0" xfId="0" applyNumberFormat="1" applyFont="1" applyFill="1" applyBorder="1" applyAlignment="1">
      <x:alignment horizontal="left" vertical="center"/>
    </x:xf>
    <x:xf numFmtId="0" fontId="18" fillId="2" borderId="1" xfId="0" applyNumberFormat="1" applyFont="1" applyFill="1" applyBorder="1" applyAlignment="1">
      <x:alignment horizontal="left" vertical="center"/>
    </x:xf>
    <x:xf numFmtId="201" fontId="17" fillId="8" borderId="0" xfId="0" applyNumberFormat="1" applyFont="1" applyFill="1" applyBorder="1" applyAlignment="1">
      <x:alignment vertical="center"/>
    </x:xf>
    <x:xf numFmtId="201" fontId="17" fillId="6" borderId="0" xfId="0" applyNumberFormat="1" applyFont="1" applyFill="1" applyBorder="1" applyAlignment="1">
      <x:alignment vertical="center"/>
    </x:xf>
    <x:xf numFmtId="201" fontId="17" fillId="8" borderId="1" xfId="0" applyNumberFormat="1" applyFont="1" applyFill="1" applyBorder="1" applyAlignment="1">
      <x:alignment vertical="center"/>
    </x:xf>
    <x:xf numFmtId="201" fontId="17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DC2626"/>
      </x:font>
      <x:fill>
        <x:patternFill>
          <x:bgColor rgb="FFFCE8E6"/>
        </x:patternFill>
      </x:fill>
    </x:dxf>
    <x:dxf>
      <x:font>
        <x:b/>
        <x:color rgb="FFDC262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cd67918194500" /><Relationship Type="http://schemas.openxmlformats.org/officeDocument/2006/relationships/theme" Target="/xl/theme/theme1.xml" Id="Ra6153a90eb644985" /><Relationship Type="http://schemas.openxmlformats.org/officeDocument/2006/relationships/sharedStrings" Target="/xl/sharedStrings.xml" Id="R1617c92a843f420d" /><Relationship Type="http://schemas.openxmlformats.org/officeDocument/2006/relationships/worksheet" Target="/xl/worksheets/sheet1.xml" Id="R4bd982cac619471b" /><Relationship Type="http://schemas.openxmlformats.org/officeDocument/2006/relationships/worksheet" Target="/xl/worksheets/sheet2.xml" Id="R06ae67e1b6cb4c8c" /><Relationship Type="http://schemas.openxmlformats.org/officeDocument/2006/relationships/worksheet" Target="/xl/worksheets/sheet3.xml" Id="Rce4b038dce724119" /><Relationship Type="http://schemas.openxmlformats.org/officeDocument/2006/relationships/worksheet" Target="/xl/worksheets/sheet4.xml" Id="R1c1b23cd2fad4d4f" /><Relationship Type="http://schemas.openxmlformats.org/officeDocument/2006/relationships/worksheet" Target="/xl/worksheets/sheet5.xml" Id="R5b895c9e26da4ba8" /><Relationship Type="http://schemas.openxmlformats.org/officeDocument/2006/relationships/worksheet" Target="/xl/worksheets/sheet6.xml" Id="R176ad289dc634c13" /><Relationship Type="http://schemas.openxmlformats.org/officeDocument/2006/relationships/worksheet" Target="/xl/worksheets/sheet7.xml" Id="R1854c6e43b6b43a2" /><Relationship Type="http://schemas.openxmlformats.org/officeDocument/2006/relationships/worksheet" Target="/xl/worksheets/sheet8.xml" Id="R4834b22954064a36" /><Relationship Type="http://schemas.microsoft.com/office/2017/10/relationships/person" Target="/xl/persons/person.xml" Id="R8280583ea56444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202565f6c4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Projected Revenue, Expenses and EBITDA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'Dashboard'!$A$20:$A$31</c:f>
              <c:strCache>
                <c:ptCount val="0"/>
              </c:strCache>
            </c:strRef>
          </c:cat>
          <c:val>
            <c:numRef>
              <c:f>'Dashboard'!$B$20:$B$31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Expenses</c:v>
          </c:tx>
          <c:cat>
            <c:strRef>
              <c:f>'Dashboard'!$A$20:$A$31</c:f>
              <c:strCache>
                <c:ptCount val="0"/>
              </c:strCache>
            </c:strRef>
          </c:cat>
          <c:val>
            <c:numRef>
              <c:f>'Dashboard'!$C$20:$C$31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cat>
            <c:strRef>
              <c:f>'Dashboard'!$A$20:$A$31</c:f>
              <c:strCache>
                <c:ptCount val="0"/>
              </c:strCache>
            </c:strRef>
          </c:cat>
          <c:val>
            <c:numRef>
              <c:f>'Dashboard'!$D$20:$D$31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tickLbl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02565f6c44db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Bobert Finance" id="{284F6BAE-AB6D-46B4-B4F8-FD9D76D75C6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7f8e2fd0afc406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18" hidden="0" customWidth="1"/>
    <x:col min="5" max="5" width="46" hidden="0" customWidth="1"/>
    <x:col min="6" max="6" width="15" hidden="0" customWidth="1"/>
    <x:col min="7" max="7" width="40" hidden="0" customWidth="1"/>
  </x:cols>
  <x:sheetData>
    <x:row r="1" ht="28" customHeight="1">
      <x:c r="A1" s="416" t="str">
        <x:v>Bobert — Projected Budget &amp; P&amp;L Assumptions</x:v>
      </x:c>
      <x:c r="B1" s="416"/>
      <x:c r="C1" s="416"/>
      <x:c r="D1" s="416"/>
      <x:c r="E1" s="416"/>
      <x:c r="F1" s="416"/>
      <x:c r="G1" s="416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</x:row>
    <x:row r="2">
      <x:c r="A2" s="233" t="str">
        <x:v>All values are projected unless marked otherwise. Blue text = editable input; green = link to another sheet; yellow = leadership decision or pending actual.</x:v>
      </x:c>
      <x:c r="B2" s="233"/>
      <x:c r="C2" s="233"/>
      <x:c r="D2" s="233"/>
      <x:c r="E2" s="233"/>
      <x:c r="F2" s="233"/>
      <x:c r="G2" s="233"/>
      <x:c r="H2" s="232"/>
      <x:c r="I2" s="232"/>
      <x:c r="J2" s="232"/>
      <x:c r="K2" s="232"/>
      <x:c r="L2" s="232"/>
      <x:c r="M2" s="232"/>
      <x:c r="N2" s="232"/>
      <x:c r="O2" s="232"/>
      <x:c r="P2" s="232"/>
      <x:c r="Q2" s="232"/>
    </x:row>
    <x:row r="3">
      <x:c r="A3" s="234"/>
      <x:c r="B3" s="234"/>
      <x:c r="C3" s="234"/>
      <x:c r="D3" s="234"/>
      <x:c r="E3" s="234"/>
      <x:c r="F3" s="234"/>
      <x:c r="G3" s="234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</x:row>
    <x:row r="4" ht="20" customHeight="1">
      <x:c r="A4" s="196" t="str">
        <x:v>MODEL CONTROL</x:v>
      </x:c>
      <x:c r="B4" s="196"/>
      <x:c r="C4" s="196"/>
      <x:c r="D4" s="196"/>
      <x:c r="E4" s="196"/>
      <x:c r="F4" s="196"/>
      <x:c r="G4" s="196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Assumption</x:v>
      </x:c>
      <x:c r="B5" s="197" t="str">
        <x:v>Value</x:v>
      </x:c>
      <x:c r="C5" s="197" t="str">
        <x:v>Status</x:v>
      </x:c>
      <x:c r="D5" s="197" t="str">
        <x:v>Owner</x:v>
      </x:c>
      <x:c r="E5" s="197" t="str">
        <x:v>Source / Rationale</x:v>
      </x:c>
      <x:c r="F5" s="197" t="str">
        <x:v>Review Date</x:v>
      </x:c>
      <x:c r="G5" s="197" t="str">
        <x:v>Notes</x:v>
      </x:c>
      <x:c r="H5" s="232"/>
      <x:c r="I5" s="232"/>
      <x:c r="J5" s="232"/>
      <x:c r="K5" s="232"/>
      <x:c r="L5" s="232"/>
      <x:c r="M5" s="232"/>
      <x:c r="N5" s="232"/>
      <x:c r="O5" s="232"/>
      <x:c r="P5" s="232"/>
      <x:c r="Q5" s="232"/>
    </x:row>
    <x:row r="6">
      <x:c r="A6" s="234" t="str">
        <x:v>Selected Scenario</x:v>
      </x:c>
      <x:c r="B6" s="235" t="str">
        <x:v>Expected</x:v>
      </x:c>
      <x:c r="C6" s="234" t="str">
        <x:v>Projected</x:v>
      </x:c>
      <x:c r="D6" s="234" t="str">
        <x:v>Finance</x:v>
      </x:c>
      <x:c r="E6" s="234" t="str">
        <x:v>Finance base case; switch to Conservative or Aggressive</x:v>
      </x:c>
      <x:c r="F6" s="236" t="n">
        <x:v>46235</x:v>
      </x:c>
      <x:c r="G6" s="234" t="str">
        <x:v>Drives the full workbook</x:v>
      </x:c>
      <x:c r="H6" s="232"/>
      <x:c r="I6" s="232"/>
      <x:c r="J6" s="232"/>
      <x:c r="K6" s="232"/>
      <x:c r="L6" s="232"/>
      <x:c r="M6" s="232"/>
      <x:c r="N6" s="232"/>
      <x:c r="O6" s="232"/>
      <x:c r="P6" s="232"/>
      <x:c r="Q6" s="232"/>
    </x:row>
    <x:row r="7">
      <x:c r="A7" s="234" t="str">
        <x:v>Forecast Start</x:v>
      </x:c>
      <x:c r="B7" s="237" t="n">
        <x:v>46235</x:v>
      </x:c>
      <x:c r="C7" s="234" t="str">
        <x:v>Projected</x:v>
      </x:c>
      <x:c r="D7" s="234" t="str">
        <x:v>Finance</x:v>
      </x:c>
      <x:c r="E7" s="234" t="str">
        <x:v>Begins immediately after July 2026 internal beta</x:v>
      </x:c>
      <x:c r="F7" s="236" t="n">
        <x:v>46235</x:v>
      </x:c>
      <x:c r="G7" s="234" t="str">
        <x:v>12-month forecast</x:v>
      </x:c>
      <x:c r="H7" s="232"/>
      <x:c r="I7" s="232"/>
      <x:c r="J7" s="232"/>
      <x:c r="K7" s="232"/>
      <x:c r="L7" s="232"/>
      <x:c r="M7" s="232"/>
      <x:c r="N7" s="232"/>
      <x:c r="O7" s="232"/>
      <x:c r="P7" s="232"/>
      <x:c r="Q7" s="232"/>
    </x:row>
    <x:row r="8">
      <x:c r="A8" s="234" t="str">
        <x:v>Paid Launch Month</x:v>
      </x:c>
      <x:c r="B8" s="238" t="n">
        <x:v>46296</x:v>
      </x:c>
      <x:c r="C8" s="234" t="str">
        <x:v>Estimated</x:v>
      </x:c>
      <x:c r="D8" s="234" t="str">
        <x:v>Founder / BD</x:v>
      </x:c>
      <x:c r="E8" s="234" t="str">
        <x:v>Allows internal and external beta before commercial launch</x:v>
      </x:c>
      <x:c r="F8" s="236" t="n">
        <x:v>46249</x:v>
      </x:c>
      <x:c r="G8" s="234" t="str">
        <x:v>Change when TestFlight timing is confirmed</x:v>
      </x:c>
      <x:c r="H8" s="232"/>
      <x:c r="I8" s="232"/>
      <x:c r="J8" s="232"/>
      <x:c r="K8" s="232"/>
      <x:c r="L8" s="232"/>
      <x:c r="M8" s="232"/>
      <x:c r="N8" s="232"/>
      <x:c r="O8" s="232"/>
      <x:c r="P8" s="232"/>
      <x:c r="Q8" s="232"/>
    </x:row>
    <x:row r="9">
      <x:c r="A9" s="234" t="str">
        <x:v>Starting Cash</x:v>
      </x:c>
      <x:c r="B9" s="239" t="n">
        <x:v>5000</x:v>
      </x:c>
      <x:c r="C9" s="234" t="str">
        <x:v>Pending confirmation</x:v>
      </x:c>
      <x:c r="D9" s="234" t="str">
        <x:v>Founder</x:v>
      </x:c>
      <x:c r="E9" s="234" t="str">
        <x:v>Initial planning transfer; not yet approved as actual funding</x:v>
      </x:c>
      <x:c r="F9" s="236" t="n">
        <x:v>46234</x:v>
      </x:c>
      <x:c r="G9" s="234" t="str">
        <x:v>Cash forecast uses this amount</x:v>
      </x:c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</x:row>
    <x:row r="10">
      <x:c r="A10" s="234"/>
      <x:c r="B10" s="234"/>
      <x:c r="C10" s="234"/>
      <x:c r="D10" s="234"/>
      <x:c r="E10" s="234"/>
      <x:c r="F10" s="234"/>
      <x:c r="G10" s="234"/>
      <x:c r="H10" s="232"/>
      <x:c r="I10" s="232"/>
      <x:c r="J10" s="232"/>
      <x:c r="K10" s="232"/>
      <x:c r="L10" s="232"/>
      <x:c r="M10" s="232"/>
      <x:c r="N10" s="232"/>
      <x:c r="O10" s="232"/>
      <x:c r="P10" s="232"/>
      <x:c r="Q10" s="232"/>
    </x:row>
    <x:row r="11">
      <x:c r="A11" s="234" t="str">
        <x:v>Minimum Cash Buffer</x:v>
      </x:c>
      <x:c r="B11" s="239" t="n">
        <x:v>2000</x:v>
      </x:c>
      <x:c r="C11" s="234" t="str">
        <x:v>Estimated</x:v>
      </x:c>
      <x:c r="D11" s="234" t="str">
        <x:v>Finance</x:v>
      </x:c>
      <x:c r="E11" s="234" t="str">
        <x:v>Operating cushion before discretionary spending</x:v>
      </x:c>
      <x:c r="F11" s="236" t="n">
        <x:v>46249</x:v>
      </x:c>
      <x:c r="G11" s="234" t="str">
        <x:v>Used to calculate capital gap</x:v>
      </x:c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</x:row>
    <x:row r="12">
      <x:c r="A12" s="234"/>
      <x:c r="B12" s="234"/>
      <x:c r="C12" s="234"/>
      <x:c r="D12" s="234"/>
      <x:c r="E12" s="234"/>
      <x:c r="F12" s="234"/>
      <x:c r="G12" s="234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</x:row>
    <x:row r="13" ht="20" customHeight="1">
      <x:c r="A13" s="196" t="str">
        <x:v>LOCKED PRICING FRAMEWORK — DECISION 005</x:v>
      </x:c>
      <x:c r="B13" s="196"/>
      <x:c r="C13" s="196"/>
      <x:c r="D13" s="196"/>
      <x:c r="E13" s="196"/>
      <x:c r="F13" s="196"/>
      <x:c r="G13" s="196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</x:row>
    <x:row r="14">
      <x:c r="A14" s="197" t="str">
        <x:v>Tier</x:v>
      </x:c>
      <x:c r="B14" s="197" t="str">
        <x:v>Projected Monthly Price</x:v>
      </x:c>
      <x:c r="C14" s="197" t="str">
        <x:v>Included Users</x:v>
      </x:c>
      <x:c r="D14" s="197" t="str">
        <x:v>Status</x:v>
      </x:c>
      <x:c r="E14" s="197" t="str">
        <x:v>Owner</x:v>
      </x:c>
      <x:c r="F14" s="197" t="str">
        <x:v>Source</x:v>
      </x:c>
      <x:c r="G14" s="197" t="str">
        <x:v>Notes</x:v>
      </x:c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</x:row>
    <x:row r="15">
      <x:c r="A15" s="234" t="str">
        <x:v>Solo</x:v>
      </x:c>
      <x:c r="B15" s="240" t="n">
        <x:v>59</x:v>
      </x:c>
      <x:c r="C15" s="235" t="n">
        <x:v>1</x:v>
      </x:c>
      <x:c r="D15" s="234" t="str">
        <x:v>Estimated within locked range</x:v>
      </x:c>
      <x:c r="E15" s="234" t="str">
        <x:v>Finance / BD</x:v>
      </x:c>
      <x:c r="F15" s="234" t="str">
        <x:v>https://github.com/robthomsonstartup-ops/bobert-ai/blob/main/business/DECISIONS.md</x:v>
      </x:c>
      <x:c r="G15" s="234" t="str">
        <x:v>Locked range: $49–$79</x:v>
      </x:c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</x:row>
    <x:row r="16">
      <x:c r="A16" s="234" t="str">
        <x:v>Professional</x:v>
      </x:c>
      <x:c r="B16" s="240" t="n">
        <x:v>119</x:v>
      </x:c>
      <x:c r="C16" s="235" t="n">
        <x:v>3</x:v>
      </x:c>
      <x:c r="D16" s="234" t="str">
        <x:v>Estimated within locked range</x:v>
      </x:c>
      <x:c r="E16" s="234" t="str">
        <x:v>Finance / BD</x:v>
      </x:c>
      <x:c r="F16" s="234" t="str">
        <x:v>https://github.com/robthomsonstartup-ops/bobert-ai/blob/main/business/DECISIONS.md</x:v>
      </x:c>
      <x:c r="G16" s="234" t="str">
        <x:v>Locked range: $99–$149</x:v>
      </x:c>
      <x:c r="H16" s="232"/>
      <x:c r="I16" s="232"/>
      <x:c r="J16" s="232"/>
      <x:c r="K16" s="232"/>
      <x:c r="L16" s="232"/>
      <x:c r="M16" s="232"/>
      <x:c r="N16" s="232"/>
      <x:c r="O16" s="232"/>
      <x:c r="P16" s="232"/>
      <x:c r="Q16" s="232"/>
    </x:row>
    <x:row r="17">
      <x:c r="A17" s="234" t="str">
        <x:v>Team</x:v>
      </x:c>
      <x:c r="B17" s="240" t="n">
        <x:v>349</x:v>
      </x:c>
      <x:c r="C17" s="235" t="n">
        <x:v>10</x:v>
      </x:c>
      <x:c r="D17" s="234" t="str">
        <x:v>Estimated</x:v>
      </x:c>
      <x:c r="E17" s="234" t="str">
        <x:v>Finance / BD</x:v>
      </x:c>
      <x:c r="F17" s="234" t="str">
        <x:v>https://github.com/robthomsonstartup-ops/bobert-ai/blob/main/business/DECISIONS.md</x:v>
      </x:c>
      <x:c r="G17" s="234" t="str">
        <x:v>Locked minimum: $299+</x:v>
      </x:c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</x:row>
    <x:row r="18">
      <x:c r="A18" s="234" t="str">
        <x:v>Enterprise</x:v>
      </x:c>
      <x:c r="B18" s="239" t="n">
        <x:v>1500</x:v>
      </x:c>
      <x:c r="C18" s="241" t="n">
        <x:v>0</x:v>
      </x:c>
      <x:c r="D18" s="242" t="str">
        <x:v>Pending confirmation</x:v>
      </x:c>
      <x:c r="E18" s="242" t="str">
        <x:v>Finance / BD</x:v>
      </x:c>
      <x:c r="F18" s="242" t="str">
        <x:v>Custom under Decision 005</x:v>
      </x:c>
      <x:c r="G18" s="242" t="str">
        <x:v>Placeholder; model as contract-specific</x:v>
      </x:c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</x:row>
    <x:row r="19">
      <x:c r="A19" s="234"/>
      <x:c r="B19" s="234"/>
      <x:c r="C19" s="234"/>
      <x:c r="D19" s="234"/>
      <x:c r="E19" s="234"/>
      <x:c r="F19" s="234"/>
      <x:c r="G19" s="234"/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</x:row>
    <x:row r="20" ht="20" customHeight="1">
      <x:c r="A20" s="196" t="str">
        <x:v>USAGE ECONOMICS — REPLACE WITH BETA TELEMETRY</x:v>
      </x:c>
      <x:c r="B20" s="196"/>
      <x:c r="C20" s="196"/>
      <x:c r="D20" s="196"/>
      <x:c r="E20" s="196"/>
      <x:c r="F20" s="196"/>
      <x:c r="G20" s="196"/>
      <x:c r="H20" s="232"/>
      <x:c r="I20" s="232"/>
      <x:c r="J20" s="232"/>
      <x:c r="K20" s="232"/>
      <x:c r="L20" s="232"/>
      <x:c r="M20" s="232"/>
      <x:c r="N20" s="232"/>
      <x:c r="O20" s="232"/>
      <x:c r="P20" s="232"/>
      <x:c r="Q20" s="232"/>
    </x:row>
    <x:row r="21">
      <x:c r="A21" s="197" t="str">
        <x:v>Tier</x:v>
      </x:c>
      <x:c r="B21" s="197" t="str">
        <x:v>Briefs / Account / Month</x:v>
      </x:c>
      <x:c r="C21" s="197" t="str">
        <x:v>Cost / Brief</x:v>
      </x:c>
      <x:c r="D21" s="197" t="str">
        <x:v>API Cost / Account</x:v>
      </x:c>
      <x:c r="E21" s="197" t="str">
        <x:v>Status</x:v>
      </x:c>
      <x:c r="F21" s="197" t="str">
        <x:v>Owner</x:v>
      </x:c>
      <x:c r="G21" s="197" t="str">
        <x:v>Source / Replacement</x:v>
      </x:c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</x:row>
    <x:row r="22">
      <x:c r="A22" s="234" t="str">
        <x:v>Solo</x:v>
      </x:c>
      <x:c r="B22" s="241" t="n">
        <x:v>20</x:v>
      </x:c>
      <x:c r="C22" s="243" t="n">
        <x:v>0.1</x:v>
      </x:c>
      <x:c r="D22" s="244" t="n">
        <x:f>B22*C22</x:f>
        <x:v>2</x:v>
      </x:c>
      <x:c r="E22" s="234" t="str">
        <x:v>Estimated</x:v>
      </x:c>
      <x:c r="F22" s="234" t="str">
        <x:v>Finance / Dev</x:v>
      </x:c>
      <x:c r="G22" s="234" t="str">
        <x:v>Replace with actual per-brief telemetry</x:v>
      </x:c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</x:row>
    <x:row r="23">
      <x:c r="A23" s="234" t="str">
        <x:v>Professional</x:v>
      </x:c>
      <x:c r="B23" s="241" t="n">
        <x:v>60</x:v>
      </x:c>
      <x:c r="C23" s="243" t="n">
        <x:v>0.1</x:v>
      </x:c>
      <x:c r="D23" s="244" t="n">
        <x:f>B23*C23</x:f>
        <x:v>6</x:v>
      </x:c>
      <x:c r="E23" s="234" t="str">
        <x:v>Estimated</x:v>
      </x:c>
      <x:c r="F23" s="234" t="str">
        <x:v>Finance / Dev</x:v>
      </x:c>
      <x:c r="G23" s="234" t="str">
        <x:v>Replace with actual per-brief telemetry</x:v>
      </x:c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</x:row>
    <x:row r="24">
      <x:c r="A24" s="234" t="str">
        <x:v>Team</x:v>
      </x:c>
      <x:c r="B24" s="241" t="n">
        <x:v>180</x:v>
      </x:c>
      <x:c r="C24" s="243" t="n">
        <x:v>0.1</x:v>
      </x:c>
      <x:c r="D24" s="244" t="n">
        <x:f>B24*C24</x:f>
        <x:v>18</x:v>
      </x:c>
      <x:c r="E24" s="234" t="str">
        <x:v>Estimated</x:v>
      </x:c>
      <x:c r="F24" s="234" t="str">
        <x:v>Finance / Dev</x:v>
      </x:c>
      <x:c r="G24" s="234" t="str">
        <x:v>Replace with actual per-brief telemetry</x:v>
      </x:c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</x:row>
    <x:row r="25">
      <x:c r="A25" s="234" t="str">
        <x:v>Enterprise</x:v>
      </x:c>
      <x:c r="B25" s="241" t="n">
        <x:v>600</x:v>
      </x:c>
      <x:c r="C25" s="243" t="n">
        <x:v>0.1</x:v>
      </x:c>
      <x:c r="D25" s="244" t="n">
        <x:f>B25*C25</x:f>
        <x:v>60</x:v>
      </x:c>
      <x:c r="E25" s="234" t="str">
        <x:v>Estimated</x:v>
      </x:c>
      <x:c r="F25" s="234" t="str">
        <x:v>Finance / Dev</x:v>
      </x:c>
      <x:c r="G25" s="234" t="str">
        <x:v>Replace with actual contract usage</x:v>
      </x:c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</x:row>
    <x:row r="26">
      <x:c r="A26" s="234"/>
      <x:c r="B26" s="234"/>
      <x:c r="C26" s="234"/>
      <x:c r="D26" s="234"/>
      <x:c r="E26" s="234"/>
      <x:c r="F26" s="234"/>
      <x:c r="G26" s="234"/>
      <x:c r="H26" s="232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 ht="20" customHeight="1">
      <x:c r="A27" s="196" t="str">
        <x:v>BILLING AND PLATFORM FEES</x:v>
      </x:c>
      <x:c r="B27" s="196"/>
      <x:c r="C27" s="196"/>
      <x:c r="D27" s="196"/>
      <x:c r="E27" s="196"/>
      <x:c r="F27" s="196"/>
      <x:c r="G27" s="196"/>
      <x:c r="H27" s="232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197" t="str">
        <x:v>Assumption</x:v>
      </x:c>
      <x:c r="B28" s="197" t="str">
        <x:v>Value</x:v>
      </x:c>
      <x:c r="C28" s="197" t="str">
        <x:v>Status</x:v>
      </x:c>
      <x:c r="D28" s="197" t="str">
        <x:v>Owner</x:v>
      </x:c>
      <x:c r="E28" s="197" t="str">
        <x:v>Source</x:v>
      </x:c>
      <x:c r="F28" s="197" t="str">
        <x:v>Review Date</x:v>
      </x:c>
      <x:c r="G28" s="197" t="str">
        <x:v>Notes</x:v>
      </x:c>
      <x:c r="H28" s="232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234" t="str">
        <x:v>Direct Web Revenue Mix</x:v>
      </x:c>
      <x:c r="B29" s="245" t="n">
        <x:v>0.6</x:v>
      </x:c>
      <x:c r="C29" s="234" t="str">
        <x:v>Estimated</x:v>
      </x:c>
      <x:c r="D29" s="234" t="str">
        <x:v>Finance / BD</x:v>
      </x:c>
      <x:c r="E29" s="234" t="str">
        <x:v>Channel mix assumption</x:v>
      </x:c>
      <x:c r="F29" s="236" t="n">
        <x:v>46266</x:v>
      </x:c>
      <x:c r="G29" s="234" t="str">
        <x:v>Mobile mix is calculated</x:v>
      </x:c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234" t="str">
        <x:v>Mobile App Revenue Mix</x:v>
      </x:c>
      <x:c r="B30" s="246" t="n">
        <x:f>1-B29</x:f>
        <x:v>0.4</x:v>
      </x:c>
      <x:c r="C30" s="234" t="str">
        <x:v>Calculated</x:v>
      </x:c>
      <x:c r="D30" s="234" t="str">
        <x:v>Finance</x:v>
      </x:c>
      <x:c r="E30" s="234" t="str">
        <x:v>1 - Direct web mix</x:v>
      </x:c>
      <x:c r="F30" s="236" t="n">
        <x:v>46266</x:v>
      </x:c>
      <x:c r="G30" s="234" t="str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234" t="str">
        <x:v>Stripe Card Processing</x:v>
      </x:c>
      <x:c r="B31" s="245" t="n">
        <x:v>0.029</x:v>
      </x:c>
      <x:c r="C31" s="234" t="str">
        <x:v>Quoted/current public rate</x:v>
      </x:c>
      <x:c r="D31" s="234" t="str">
        <x:v>Finance</x:v>
      </x:c>
      <x:c r="E31" s="234" t="str">
        <x:v>https://stripe.com/pricing</x:v>
      </x:c>
      <x:c r="F31" s="236" t="n">
        <x:v>46296</x:v>
      </x:c>
      <x:c r="G31" s="234" t="str">
        <x:v>Domestic cards; excludes fixed fee</x:v>
      </x:c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4" t="str">
        <x:v>Stripe Fixed Fee / Transaction</x:v>
      </x:c>
      <x:c r="B32" s="247" t="n">
        <x:v>0.3</x:v>
      </x:c>
      <x:c r="C32" s="234" t="str">
        <x:v>Quoted/current public rate</x:v>
      </x:c>
      <x:c r="D32" s="234" t="str">
        <x:v>Finance</x:v>
      </x:c>
      <x:c r="E32" s="234" t="str">
        <x:v>https://stripe.com/pricing</x:v>
      </x:c>
      <x:c r="F32" s="236" t="n">
        <x:v>46296</x:v>
      </x:c>
      <x:c r="G32" s="234" t="str">
        <x:v>Applied to projected web-paid accounts</x:v>
      </x:c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>
      <x:c r="A33" s="234" t="str">
        <x:v>Stripe Billing</x:v>
      </x:c>
      <x:c r="B33" s="245" t="n">
        <x:v>0.007</x:v>
      </x:c>
      <x:c r="C33" s="234" t="str">
        <x:v>Quoted/current public rate</x:v>
      </x:c>
      <x:c r="D33" s="234" t="str">
        <x:v>Finance</x:v>
      </x:c>
      <x:c r="E33" s="234" t="str">
        <x:v>https://stripe.com/billing/pricing</x:v>
      </x:c>
      <x:c r="F33" s="236" t="n">
        <x:v>46296</x:v>
      </x:c>
      <x:c r="G33" s="234" t="str">
        <x:v>Pay-as-you-go Billing volume fee</x:v>
      </x:c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>
      <x:c r="A34" s="234" t="str">
        <x:v>App Store Commission</x:v>
      </x:c>
      <x:c r="B34" s="245" t="n">
        <x:v>0.15</x:v>
      </x:c>
      <x:c r="C34" s="234" t="str">
        <x:v>Quoted/current program rate</x:v>
      </x:c>
      <x:c r="D34" s="234" t="str">
        <x:v>Finance</x:v>
      </x:c>
      <x:c r="E34" s="234" t="str">
        <x:v>https://developer.apple.com/app-store/small-business-program/</x:v>
      </x:c>
      <x:c r="F34" s="236" t="n">
        <x:v>46296</x:v>
      </x:c>
      <x:c r="G34" s="234" t="str">
        <x:v>Assumes Small Business Program eligibility</x:v>
      </x:c>
      <x:c r="H34" s="232"/>
      <x:c r="I34" s="232"/>
      <x:c r="J34" s="232"/>
      <x:c r="K34" s="232"/>
      <x:c r="L34" s="232"/>
      <x:c r="M34" s="232"/>
      <x:c r="N34" s="232"/>
      <x:c r="O34" s="232"/>
      <x:c r="P34" s="232"/>
      <x:c r="Q34" s="232"/>
    </x:row>
    <x:row r="35">
      <x:c r="A35" s="234" t="str">
        <x:v>RevenueCat Fee</x:v>
      </x:c>
      <x:c r="B35" s="245" t="n">
        <x:v>0.01</x:v>
      </x:c>
      <x:c r="C35" s="234" t="str">
        <x:v>Quoted/current public rate</x:v>
      </x:c>
      <x:c r="D35" s="234" t="str">
        <x:v>Finance</x:v>
      </x:c>
      <x:c r="E35" s="234" t="str">
        <x:v>https://www.revenuecat.com/pricing</x:v>
      </x:c>
      <x:c r="F35" s="236" t="n">
        <x:v>46296</x:v>
      </x:c>
      <x:c r="G35" s="234" t="str">
        <x:v>1% when monthly tracked revenue exceeds threshold</x:v>
      </x:c>
      <x:c r="H35" s="232"/>
      <x:c r="I35" s="232"/>
      <x:c r="J35" s="232"/>
      <x:c r="K35" s="232"/>
      <x:c r="L35" s="232"/>
      <x:c r="M35" s="232"/>
      <x:c r="N35" s="232"/>
      <x:c r="O35" s="232"/>
      <x:c r="P35" s="232"/>
      <x:c r="Q35" s="232"/>
    </x:row>
    <x:row r="36">
      <x:c r="A36" s="234" t="str">
        <x:v>RevenueCat Monthly Tracked Revenue Threshold</x:v>
      </x:c>
      <x:c r="B36" s="240" t="n">
        <x:v>2500</x:v>
      </x:c>
      <x:c r="C36" s="234" t="str">
        <x:v>Quoted/current public rate</x:v>
      </x:c>
      <x:c r="D36" s="234" t="str">
        <x:v>Finance</x:v>
      </x:c>
      <x:c r="E36" s="234" t="str">
        <x:v>https://www.revenuecat.com/pricing</x:v>
      </x:c>
      <x:c r="F36" s="236" t="n">
        <x:v>46296</x:v>
      </x:c>
      <x:c r="G36" s="234" t="str">
        <x:v>Free below threshold; model charges 1% of mobile revenue once exceeded</x:v>
      </x:c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4"/>
      <x:c r="B37" s="234"/>
      <x:c r="C37" s="234"/>
      <x:c r="D37" s="234"/>
      <x:c r="E37" s="234"/>
      <x:c r="F37" s="234"/>
      <x:c r="G37" s="234"/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 ht="20" customHeight="1">
      <x:c r="A38" s="196" t="str">
        <x:v>SPENDING AND SUPPORT TRIGGERS</x:v>
      </x:c>
      <x:c r="B38" s="196"/>
      <x:c r="C38" s="196"/>
      <x:c r="D38" s="196"/>
      <x:c r="E38" s="196"/>
      <x:c r="F38" s="196"/>
      <x:c r="G38" s="196"/>
      <x:c r="H38" s="232"/>
      <x:c r="I38" s="232"/>
      <x:c r="J38" s="232"/>
      <x:c r="K38" s="232"/>
      <x:c r="L38" s="232"/>
      <x:c r="M38" s="232"/>
      <x:c r="N38" s="232"/>
      <x:c r="O38" s="232"/>
      <x:c r="P38" s="232"/>
      <x:c r="Q38" s="232"/>
    </x:row>
    <x:row r="39">
      <x:c r="A39" s="197" t="str">
        <x:v>Trigger</x:v>
      </x:c>
      <x:c r="B39" s="197" t="str">
        <x:v>Threshold</x:v>
      </x:c>
      <x:c r="C39" s="197" t="str">
        <x:v>Monthly Cost</x:v>
      </x:c>
      <x:c r="D39" s="197" t="str">
        <x:v>Status</x:v>
      </x:c>
      <x:c r="E39" s="197" t="str">
        <x:v>Owner</x:v>
      </x:c>
      <x:c r="F39" s="197" t="str">
        <x:v>Source</x:v>
      </x:c>
      <x:c r="G39" s="197" t="str">
        <x:v>Notes</x:v>
      </x:c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</x:row>
    <x:row r="40">
      <x:c r="A40" s="234" t="str">
        <x:v>Human contractor — maintenance</x:v>
      </x:c>
      <x:c r="B40" s="239" t="n">
        <x:v>10000</x:v>
      </x:c>
      <x:c r="C40" s="239" t="n">
        <x:v>1500</x:v>
      </x:c>
      <x:c r="D40" s="234" t="str">
        <x:v>Estimated</x:v>
      </x:c>
      <x:c r="E40" s="234" t="str">
        <x:v>Finance / Dev</x:v>
      </x:c>
      <x:c r="F40" s="234" t="str">
        <x:v>DECISION 003 hiring trigger context</x:v>
      </x:c>
      <x:c r="G40" s="234" t="str">
        <x:v>Starts only when MRR supports recurring help</x:v>
      </x:c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4" t="str">
        <x:v>Human contractor — scale support</x:v>
      </x:c>
      <x:c r="B41" s="239" t="n">
        <x:v>20000</x:v>
      </x:c>
      <x:c r="C41" s="239" t="n">
        <x:v>3000</x:v>
      </x:c>
      <x:c r="D41" s="234" t="str">
        <x:v>Estimated</x:v>
      </x:c>
      <x:c r="E41" s="234" t="str">
        <x:v>Finance / Dev</x:v>
      </x:c>
      <x:c r="F41" s="234" t="str">
        <x:v>Finance policy</x:v>
      </x:c>
      <x:c r="G41" s="234" t="str">
        <x:v>Replaces lower contractor amount</x:v>
      </x:c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4" t="str">
        <x:v>Direct customer support — level 1</x:v>
      </x:c>
      <x:c r="B42" s="239" t="n">
        <x:v>100</x:v>
      </x:c>
      <x:c r="C42" s="239" t="n">
        <x:v>500</x:v>
      </x:c>
      <x:c r="D42" s="234" t="str">
        <x:v>Estimated</x:v>
      </x:c>
      <x:c r="E42" s="234" t="str">
        <x:v>Finance / Operations</x:v>
      </x:c>
      <x:c r="F42" s="234" t="str">
        <x:v>Customer volume trigger</x:v>
      </x:c>
      <x:c r="G42" s="234" t="str">
        <x:v>Classified as cost of revenue</x:v>
      </x:c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4" t="str">
        <x:v>Direct customer support — level 2</x:v>
      </x:c>
      <x:c r="B43" s="239" t="n">
        <x:v>250</x:v>
      </x:c>
      <x:c r="C43" s="239" t="n">
        <x:v>1500</x:v>
      </x:c>
      <x:c r="D43" s="234" t="str">
        <x:v>Estimated</x:v>
      </x:c>
      <x:c r="E43" s="234" t="str">
        <x:v>Finance / Operations</x:v>
      </x:c>
      <x:c r="F43" s="234" t="str">
        <x:v>Customer volume trigger</x:v>
      </x:c>
      <x:c r="G43" s="234" t="str">
        <x:v>Replaces level 1 support cost</x:v>
      </x:c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4" t="str">
        <x:v>Full-time hire consideration</x:v>
      </x:c>
      <x:c r="B44" s="240" t="n">
        <x:v>10000</x:v>
      </x:c>
      <x:c r="C44" s="240" t="n">
        <x:v>15000</x:v>
      </x:c>
      <x:c r="D44" s="234" t="str">
        <x:v>Locked range</x:v>
      </x:c>
      <x:c r="E44" s="234" t="str">
        <x:v>Founder</x:v>
      </x:c>
      <x:c r="F44" s="234" t="str">
        <x:v>https://github.com/robthomsonstartup-ops/bobert-ai/blob/main/business/DECISIONS.md</x:v>
      </x:c>
      <x:c r="G44" s="234" t="str">
        <x:v>DECISION 003: $10–15K MRR or support unmanageable</x:v>
      </x:c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4" t="str">
        <x:v>30-day free trial</x:v>
      </x:c>
      <x:c r="B45" s="240" t="n">
        <x:v>30</x:v>
      </x:c>
      <x:c r="C45" s="240" t="n">
        <x:v>0</x:v>
      </x:c>
      <x:c r="D45" s="234" t="str">
        <x:v>Locked</x:v>
      </x:c>
      <x:c r="E45" s="234" t="str">
        <x:v>BD / Finance</x:v>
      </x:c>
      <x:c r="F45" s="234" t="str">
        <x:v>https://github.com/robthomsonstartup-ops/bobert-ai/blob/main/business/DECISIONS.md</x:v>
      </x:c>
      <x:c r="G45" s="234" t="str">
        <x:v>Projected subscribers are paid accounts after trial</x:v>
      </x:c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4" t="str">
        <x:v>Founder compensation</x:v>
      </x:c>
      <x:c r="B46" s="248" t="n">
        <x:v>0</x:v>
      </x:c>
      <x:c r="C46" s="240" t="n">
        <x:v>0</x:v>
      </x:c>
      <x:c r="D46" s="234" t="str">
        <x:v>Projected</x:v>
      </x:c>
      <x:c r="E46" s="234" t="str">
        <x:v>Founder</x:v>
      </x:c>
      <x:c r="F46" s="234" t="str">
        <x:v>Bootstrapped validation phase</x:v>
      </x:c>
      <x:c r="G46" s="234" t="str">
        <x:v>No founder salary in base 12-month cash plan</x:v>
      </x:c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4" t="str">
        <x:v>Trade show spending</x:v>
      </x:c>
      <x:c r="B47" s="235" t="n">
        <x:v>0</x:v>
      </x:c>
      <x:c r="C47" s="240" t="n">
        <x:v>2500</x:v>
      </x:c>
      <x:c r="D47" s="234" t="str">
        <x:v>Conditional</x:v>
      </x:c>
      <x:c r="E47" s="234" t="str">
        <x:v>Founder / BD</x:v>
      </x:c>
      <x:c r="F47" s="234" t="str">
        <x:v>Finance trigger</x:v>
      </x:c>
      <x:c r="G47" s="234" t="str">
        <x:v>Only if qualified pipeline and budget approval exist</x:v>
      </x:c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G1"/>
    <x:mergeCell ref="A2:G2"/>
    <x:mergeCell ref="A4:G4"/>
    <x:mergeCell ref="A13:G13"/>
    <x:mergeCell ref="A20:G20"/>
    <x:mergeCell ref="A27:G27"/>
    <x:mergeCell ref="A38:G38"/>
  </x:mergeCells>
  <x:dataValidations count="1">
    <x:dataValidation type="list" sqref="B6">
      <x:formula1>"Conservative,Expected,Aggressive"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8" t="str">
        <x:v>Bobert — Paid Subscriber Forecast by Scenario</x:v>
      </x:c>
      <x:c r="B1" s="418"/>
      <x:c r="C1" s="418"/>
      <x:c r="D1" s="418"/>
      <x:c r="E1" s="418"/>
      <x:c r="F1" s="418"/>
      <x:c r="G1" s="418"/>
      <x:c r="H1" s="418"/>
      <x:c r="I1" s="418"/>
      <x:c r="J1" s="418"/>
      <x:c r="K1" s="418"/>
      <x:c r="L1" s="418"/>
      <x:c r="M1" s="418"/>
      <x:c r="N1" s="418"/>
      <x:c r="O1" s="232"/>
      <x:c r="P1" s="232"/>
      <x:c r="Q1" s="232"/>
    </x:row>
    <x:row r="2">
      <x:c r="A2" s="288" t="str">
        <x:v>End-of-month paid accounts after the 30-day free trial. Change the selected scenario on the Assumptions sheet.</x:v>
      </x:c>
      <x:c r="B2" s="288"/>
      <x:c r="C2" s="288"/>
      <x:c r="D2" s="288"/>
      <x:c r="E2" s="288"/>
      <x:c r="F2" s="288"/>
      <x:c r="G2" s="288"/>
      <x:c r="H2" s="288"/>
      <x:c r="I2" s="288"/>
      <x:c r="J2" s="288"/>
      <x:c r="K2" s="288"/>
      <x:c r="L2" s="288"/>
      <x:c r="M2" s="288"/>
      <x:c r="N2" s="288"/>
      <x:c r="O2" s="232"/>
      <x:c r="P2" s="232"/>
      <x:c r="Q2" s="232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</x:row>
    <x:row r="4">
      <x:c r="A4" s="232" t="str">
        <x:v>Selected Scenario</x:v>
      </x:c>
      <x:c r="B4" s="289" t="str">
        <x:f>'Assumptions'!B6</x:f>
        <x:v>Expected</x:v>
      </x:c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Tier</x:v>
      </x:c>
      <x:c r="B5" s="269" t="n">
        <x:v>46235</x:v>
      </x:c>
      <x:c r="C5" s="269" t="n">
        <x:v>46266</x:v>
      </x:c>
      <x:c r="D5" s="269" t="n">
        <x:v>46296</x:v>
      </x:c>
      <x:c r="E5" s="269" t="n">
        <x:v>46327</x:v>
      </x:c>
      <x:c r="F5" s="269" t="n">
        <x:v>46357</x:v>
      </x:c>
      <x:c r="G5" s="269" t="n">
        <x:v>46388</x:v>
      </x:c>
      <x:c r="H5" s="269" t="n">
        <x:v>46419</x:v>
      </x:c>
      <x:c r="I5" s="269" t="n">
        <x:v>46447</x:v>
      </x:c>
      <x:c r="J5" s="269" t="n">
        <x:v>46478</x:v>
      </x:c>
      <x:c r="K5" s="269" t="n">
        <x:v>46508</x:v>
      </x:c>
      <x:c r="L5" s="269" t="n">
        <x:v>46539</x:v>
      </x:c>
      <x:c r="M5" s="269" t="n">
        <x:v>46569</x:v>
      </x:c>
      <x:c r="N5" s="197" t="str">
        <x:v>FY / Month 12</x:v>
      </x:c>
      <x:c r="O5" s="232"/>
      <x:c r="P5" s="232"/>
      <x:c r="Q5" s="232"/>
    </x:row>
    <x:row r="6">
      <x:c r="A6" s="232"/>
      <x:c r="B6" s="232"/>
      <x:c r="C6" s="232"/>
      <x:c r="D6" s="232"/>
      <x:c r="E6" s="232"/>
      <x:c r="F6" s="232"/>
      <x:c r="G6" s="232"/>
      <x:c r="H6" s="232"/>
      <x:c r="I6" s="232"/>
      <x:c r="J6" s="232"/>
      <x:c r="K6" s="232"/>
      <x:c r="L6" s="232"/>
      <x:c r="M6" s="232"/>
      <x:c r="N6" s="232"/>
      <x:c r="O6" s="232"/>
      <x:c r="P6" s="232"/>
      <x:c r="Q6" s="232"/>
    </x:row>
    <x:row r="7">
      <x:c r="A7" s="232" t="str">
        <x:v>Solo</x:v>
      </x:c>
      <x:c r="B7" s="290" t="n">
        <x:f>IF('Assumptions'!$B$6="Conservative",B15,IF('Assumptions'!$B$6="Aggressive",B31,B23))</x:f>
        <x:v>0</x:v>
      </x:c>
      <x:c r="C7" s="290" t="n">
        <x:f>IF('Assumptions'!$B$6="Conservative",C15,IF('Assumptions'!$B$6="Aggressive",C31,C23))</x:f>
        <x:v>0</x:v>
      </x:c>
      <x:c r="D7" s="290" t="n">
        <x:f>IF('Assumptions'!$B$6="Conservative",D15,IF('Assumptions'!$B$6="Aggressive",D31,D23))</x:f>
        <x:v>8</x:v>
      </x:c>
      <x:c r="E7" s="290" t="n">
        <x:f>IF('Assumptions'!$B$6="Conservative",E15,IF('Assumptions'!$B$6="Aggressive",E31,E23))</x:f>
        <x:v>15</x:v>
      </x:c>
      <x:c r="F7" s="290" t="n">
        <x:f>IF('Assumptions'!$B$6="Conservative",F15,IF('Assumptions'!$B$6="Aggressive",F31,F23))</x:f>
        <x:v>25</x:v>
      </x:c>
      <x:c r="G7" s="290" t="n">
        <x:f>IF('Assumptions'!$B$6="Conservative",G15,IF('Assumptions'!$B$6="Aggressive",G31,G23))</x:f>
        <x:v>40</x:v>
      </x:c>
      <x:c r="H7" s="290" t="n">
        <x:f>IF('Assumptions'!$B$6="Conservative",H15,IF('Assumptions'!$B$6="Aggressive",H31,H23))</x:f>
        <x:v>60</x:v>
      </x:c>
      <x:c r="I7" s="290" t="n">
        <x:f>IF('Assumptions'!$B$6="Conservative",I15,IF('Assumptions'!$B$6="Aggressive",I31,I23))</x:f>
        <x:v>85</x:v>
      </x:c>
      <x:c r="J7" s="290" t="n">
        <x:f>IF('Assumptions'!$B$6="Conservative",J15,IF('Assumptions'!$B$6="Aggressive",J31,J23))</x:f>
        <x:v>115</x:v>
      </x:c>
      <x:c r="K7" s="290" t="n">
        <x:f>IF('Assumptions'!$B$6="Conservative",K15,IF('Assumptions'!$B$6="Aggressive",K31,K23))</x:f>
        <x:v>150</x:v>
      </x:c>
      <x:c r="L7" s="290" t="n">
        <x:f>IF('Assumptions'!$B$6="Conservative",L15,IF('Assumptions'!$B$6="Aggressive",L31,L23))</x:f>
        <x:v>190</x:v>
      </x:c>
      <x:c r="M7" s="290" t="n">
        <x:f>IF('Assumptions'!$B$6="Conservative",M15,IF('Assumptions'!$B$6="Aggressive",M31,M23))</x:f>
        <x:v>240</x:v>
      </x:c>
      <x:c r="N7" s="290" t="n">
        <x:f>M7</x:f>
        <x:v>240</x:v>
      </x:c>
      <x:c r="O7" s="232"/>
      <x:c r="P7" s="232"/>
      <x:c r="Q7" s="232"/>
    </x:row>
    <x:row r="8">
      <x:c r="A8" s="232" t="str">
        <x:v>Professional</x:v>
      </x:c>
      <x:c r="B8" s="290" t="n">
        <x:f>IF('Assumptions'!$B$6="Conservative",B16,IF('Assumptions'!$B$6="Aggressive",B32,B24))</x:f>
        <x:v>0</x:v>
      </x:c>
      <x:c r="C8" s="290" t="n">
        <x:f>IF('Assumptions'!$B$6="Conservative",C16,IF('Assumptions'!$B$6="Aggressive",C32,C24))</x:f>
        <x:v>0</x:v>
      </x:c>
      <x:c r="D8" s="290" t="n">
        <x:f>IF('Assumptions'!$B$6="Conservative",D16,IF('Assumptions'!$B$6="Aggressive",D32,D24))</x:f>
        <x:v>2</x:v>
      </x:c>
      <x:c r="E8" s="290" t="n">
        <x:f>IF('Assumptions'!$B$6="Conservative",E16,IF('Assumptions'!$B$6="Aggressive",E32,E24))</x:f>
        <x:v>4</x:v>
      </x:c>
      <x:c r="F8" s="290" t="n">
        <x:f>IF('Assumptions'!$B$6="Conservative",F16,IF('Assumptions'!$B$6="Aggressive",F32,F24))</x:f>
        <x:v>6</x:v>
      </x:c>
      <x:c r="G8" s="290" t="n">
        <x:f>IF('Assumptions'!$B$6="Conservative",G16,IF('Assumptions'!$B$6="Aggressive",G32,G24))</x:f>
        <x:v>10</x:v>
      </x:c>
      <x:c r="H8" s="290" t="n">
        <x:f>IF('Assumptions'!$B$6="Conservative",H16,IF('Assumptions'!$B$6="Aggressive",H32,H24))</x:f>
        <x:v>14</x:v>
      </x:c>
      <x:c r="I8" s="290" t="n">
        <x:f>IF('Assumptions'!$B$6="Conservative",I16,IF('Assumptions'!$B$6="Aggressive",I32,I24))</x:f>
        <x:v>18</x:v>
      </x:c>
      <x:c r="J8" s="290" t="n">
        <x:f>IF('Assumptions'!$B$6="Conservative",J16,IF('Assumptions'!$B$6="Aggressive",J32,J24))</x:f>
        <x:v>23</x:v>
      </x:c>
      <x:c r="K8" s="290" t="n">
        <x:f>IF('Assumptions'!$B$6="Conservative",K16,IF('Assumptions'!$B$6="Aggressive",K32,K24))</x:f>
        <x:v>30</x:v>
      </x:c>
      <x:c r="L8" s="290" t="n">
        <x:f>IF('Assumptions'!$B$6="Conservative",L16,IF('Assumptions'!$B$6="Aggressive",L32,L24))</x:f>
        <x:v>38</x:v>
      </x:c>
      <x:c r="M8" s="290" t="n">
        <x:f>IF('Assumptions'!$B$6="Conservative",M16,IF('Assumptions'!$B$6="Aggressive",M32,M24))</x:f>
        <x:v>48</x:v>
      </x:c>
      <x:c r="N8" s="290" t="n">
        <x:f>M8</x:f>
        <x:v>48</x:v>
      </x:c>
      <x:c r="O8" s="232"/>
      <x:c r="P8" s="232"/>
      <x:c r="Q8" s="232"/>
    </x:row>
    <x:row r="9">
      <x:c r="A9" s="232" t="str">
        <x:v>Team</x:v>
      </x:c>
      <x:c r="B9" s="290" t="n">
        <x:f>IF('Assumptions'!$B$6="Conservative",B17,IF('Assumptions'!$B$6="Aggressive",B33,B25))</x:f>
        <x:v>0</x:v>
      </x:c>
      <x:c r="C9" s="290" t="n">
        <x:f>IF('Assumptions'!$B$6="Conservative",C17,IF('Assumptions'!$B$6="Aggressive",C33,C25))</x:f>
        <x:v>0</x:v>
      </x:c>
      <x:c r="D9" s="290" t="n">
        <x:f>IF('Assumptions'!$B$6="Conservative",D17,IF('Assumptions'!$B$6="Aggressive",D33,D25))</x:f>
        <x:v>0</x:v>
      </x:c>
      <x:c r="E9" s="290" t="n">
        <x:f>IF('Assumptions'!$B$6="Conservative",E17,IF('Assumptions'!$B$6="Aggressive",E33,E25))</x:f>
        <x:v>1</x:v>
      </x:c>
      <x:c r="F9" s="290" t="n">
        <x:f>IF('Assumptions'!$B$6="Conservative",F17,IF('Assumptions'!$B$6="Aggressive",F33,F25))</x:f>
        <x:v>1</x:v>
      </x:c>
      <x:c r="G9" s="290" t="n">
        <x:f>IF('Assumptions'!$B$6="Conservative",G17,IF('Assumptions'!$B$6="Aggressive",G33,G25))</x:f>
        <x:v>2</x:v>
      </x:c>
      <x:c r="H9" s="290" t="n">
        <x:f>IF('Assumptions'!$B$6="Conservative",H17,IF('Assumptions'!$B$6="Aggressive",H33,H25))</x:f>
        <x:v>3</x:v>
      </x:c>
      <x:c r="I9" s="290" t="n">
        <x:f>IF('Assumptions'!$B$6="Conservative",I17,IF('Assumptions'!$B$6="Aggressive",I33,I25))</x:f>
        <x:v>4</x:v>
      </x:c>
      <x:c r="J9" s="290" t="n">
        <x:f>IF('Assumptions'!$B$6="Conservative",J17,IF('Assumptions'!$B$6="Aggressive",J33,J25))</x:f>
        <x:v>5</x:v>
      </x:c>
      <x:c r="K9" s="290" t="n">
        <x:f>IF('Assumptions'!$B$6="Conservative",K17,IF('Assumptions'!$B$6="Aggressive",K33,K25))</x:f>
        <x:v>7</x:v>
      </x:c>
      <x:c r="L9" s="290" t="n">
        <x:f>IF('Assumptions'!$B$6="Conservative",L17,IF('Assumptions'!$B$6="Aggressive",L33,L25))</x:f>
        <x:v>9</x:v>
      </x:c>
      <x:c r="M9" s="290" t="n">
        <x:f>IF('Assumptions'!$B$6="Conservative",M17,IF('Assumptions'!$B$6="Aggressive",M33,M25))</x:f>
        <x:v>12</x:v>
      </x:c>
      <x:c r="N9" s="290" t="n">
        <x:f>M9</x:f>
        <x:v>12</x:v>
      </x:c>
      <x:c r="O9" s="232"/>
      <x:c r="P9" s="232"/>
      <x:c r="Q9" s="232"/>
    </x:row>
    <x:row r="10">
      <x:c r="A10" s="232" t="str">
        <x:v>Enterprise</x:v>
      </x:c>
      <x:c r="B10" s="290" t="n">
        <x:f>IF('Assumptions'!$B$6="Conservative",B18,IF('Assumptions'!$B$6="Aggressive",B34,B26))</x:f>
        <x:v>0</x:v>
      </x:c>
      <x:c r="C10" s="290" t="n">
        <x:f>IF('Assumptions'!$B$6="Conservative",C18,IF('Assumptions'!$B$6="Aggressive",C34,C26))</x:f>
        <x:v>0</x:v>
      </x:c>
      <x:c r="D10" s="290" t="n">
        <x:f>IF('Assumptions'!$B$6="Conservative",D18,IF('Assumptions'!$B$6="Aggressive",D34,D26))</x:f>
        <x:v>0</x:v>
      </x:c>
      <x:c r="E10" s="290" t="n">
        <x:f>IF('Assumptions'!$B$6="Conservative",E18,IF('Assumptions'!$B$6="Aggressive",E34,E26))</x:f>
        <x:v>0</x:v>
      </x:c>
      <x:c r="F10" s="290" t="n">
        <x:f>IF('Assumptions'!$B$6="Conservative",F18,IF('Assumptions'!$B$6="Aggressive",F34,F26))</x:f>
        <x:v>0</x:v>
      </x:c>
      <x:c r="G10" s="290" t="n">
        <x:f>IF('Assumptions'!$B$6="Conservative",G18,IF('Assumptions'!$B$6="Aggressive",G34,G26))</x:f>
        <x:v>0</x:v>
      </x:c>
      <x:c r="H10" s="290" t="n">
        <x:f>IF('Assumptions'!$B$6="Conservative",H18,IF('Assumptions'!$B$6="Aggressive",H34,H26))</x:f>
        <x:v>0</x:v>
      </x:c>
      <x:c r="I10" s="290" t="n">
        <x:f>IF('Assumptions'!$B$6="Conservative",I18,IF('Assumptions'!$B$6="Aggressive",I34,I26))</x:f>
        <x:v>0</x:v>
      </x:c>
      <x:c r="J10" s="290" t="n">
        <x:f>IF('Assumptions'!$B$6="Conservative",J18,IF('Assumptions'!$B$6="Aggressive",J34,J26))</x:f>
        <x:v>0</x:v>
      </x:c>
      <x:c r="K10" s="290" t="n">
        <x:f>IF('Assumptions'!$B$6="Conservative",K18,IF('Assumptions'!$B$6="Aggressive",K34,K26))</x:f>
        <x:v>0</x:v>
      </x:c>
      <x:c r="L10" s="290" t="n">
        <x:f>IF('Assumptions'!$B$6="Conservative",L18,IF('Assumptions'!$B$6="Aggressive",L34,L26))</x:f>
        <x:v>0</x:v>
      </x:c>
      <x:c r="M10" s="290" t="n">
        <x:f>IF('Assumptions'!$B$6="Conservative",M18,IF('Assumptions'!$B$6="Aggressive",M34,M26))</x:f>
        <x:v>1</x:v>
      </x:c>
      <x:c r="N10" s="290" t="n">
        <x:f>M10</x:f>
        <x:v>1</x:v>
      </x:c>
      <x:c r="O10" s="232"/>
      <x:c r="P10" s="232"/>
      <x:c r="Q10" s="232"/>
    </x:row>
    <x:row r="11">
      <x:c r="A11" s="291" t="str">
        <x:v>Total Paid Accounts</x:v>
      </x:c>
      <x:c r="B11" s="292" t="n">
        <x:f>SUM(B7:B10)</x:f>
        <x:v>0</x:v>
      </x:c>
      <x:c r="C11" s="292" t="n">
        <x:f>SUM(C7:C10)</x:f>
        <x:v>0</x:v>
      </x:c>
      <x:c r="D11" s="292" t="n">
        <x:f>SUM(D7:D10)</x:f>
        <x:v>10</x:v>
      </x:c>
      <x:c r="E11" s="292" t="n">
        <x:f>SUM(E7:E10)</x:f>
        <x:v>20</x:v>
      </x:c>
      <x:c r="F11" s="292" t="n">
        <x:f>SUM(F7:F10)</x:f>
        <x:v>32</x:v>
      </x:c>
      <x:c r="G11" s="292" t="n">
        <x:f>SUM(G7:G10)</x:f>
        <x:v>52</x:v>
      </x:c>
      <x:c r="H11" s="292" t="n">
        <x:f>SUM(H7:H10)</x:f>
        <x:v>77</x:v>
      </x:c>
      <x:c r="I11" s="292" t="n">
        <x:f>SUM(I7:I10)</x:f>
        <x:v>107</x:v>
      </x:c>
      <x:c r="J11" s="292" t="n">
        <x:f>SUM(J7:J10)</x:f>
        <x:v>143</x:v>
      </x:c>
      <x:c r="K11" s="292" t="n">
        <x:f>SUM(K7:K10)</x:f>
        <x:v>187</x:v>
      </x:c>
      <x:c r="L11" s="292" t="n">
        <x:f>SUM(L7:L10)</x:f>
        <x:v>237</x:v>
      </x:c>
      <x:c r="M11" s="292" t="n">
        <x:f>SUM(M7:M10)</x:f>
        <x:v>301</x:v>
      </x:c>
      <x:c r="N11" s="292" t="n">
        <x:f>M11</x:f>
        <x:v>301</x:v>
      </x:c>
      <x:c r="O11" s="232"/>
      <x:c r="P11" s="232"/>
      <x:c r="Q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</x:row>
    <x:row r="14" ht="20" customHeight="1">
      <x:c r="A14" s="273" t="str">
        <x:v>CONSERVATIVE SCENARIO — PROJECTED PAID ACCOUNTS</x:v>
      </x:c>
      <x:c r="B14" s="273"/>
      <x:c r="C14" s="273"/>
      <x:c r="D14" s="273"/>
      <x:c r="E14" s="273"/>
      <x:c r="F14" s="273"/>
      <x:c r="G14" s="273"/>
      <x:c r="H14" s="273"/>
      <x:c r="I14" s="273"/>
      <x:c r="J14" s="273"/>
      <x:c r="K14" s="273"/>
      <x:c r="L14" s="273"/>
      <x:c r="M14" s="273"/>
      <x:c r="N14" s="273"/>
      <x:c r="O14" s="232"/>
      <x:c r="P14" s="232"/>
      <x:c r="Q14" s="232"/>
    </x:row>
    <x:row r="15">
      <x:c r="A15" s="232" t="str">
        <x:v>Solo</x:v>
      </x:c>
      <x:c r="B15" s="293" t="n">
        <x:v>0</x:v>
      </x:c>
      <x:c r="C15" s="293" t="n">
        <x:v>0</x:v>
      </x:c>
      <x:c r="D15" s="293" t="n">
        <x:v>3</x:v>
      </x:c>
      <x:c r="E15" s="293" t="n">
        <x:v>6</x:v>
      </x:c>
      <x:c r="F15" s="293" t="n">
        <x:v>10</x:v>
      </x:c>
      <x:c r="G15" s="293" t="n">
        <x:v>15</x:v>
      </x:c>
      <x:c r="H15" s="293" t="n">
        <x:v>22</x:v>
      </x:c>
      <x:c r="I15" s="293" t="n">
        <x:v>30</x:v>
      </x:c>
      <x:c r="J15" s="293" t="n">
        <x:v>40</x:v>
      </x:c>
      <x:c r="K15" s="293" t="n">
        <x:v>55</x:v>
      </x:c>
      <x:c r="L15" s="293" t="n">
        <x:v>70</x:v>
      </x:c>
      <x:c r="M15" s="293" t="n">
        <x:v>90</x:v>
      </x:c>
      <x:c r="N15" s="294" t="n">
        <x:f>M15</x:f>
        <x:v>90</x:v>
      </x:c>
      <x:c r="O15" s="232"/>
      <x:c r="P15" s="232"/>
      <x:c r="Q15" s="232"/>
    </x:row>
    <x:row r="16">
      <x:c r="A16" s="232" t="str">
        <x:v>Professional</x:v>
      </x:c>
      <x:c r="B16" s="293" t="n">
        <x:v>0</x:v>
      </x:c>
      <x:c r="C16" s="293" t="n">
        <x:v>0</x:v>
      </x:c>
      <x:c r="D16" s="293" t="n">
        <x:v>1</x:v>
      </x:c>
      <x:c r="E16" s="293" t="n">
        <x:v>1</x:v>
      </x:c>
      <x:c r="F16" s="293" t="n">
        <x:v>2</x:v>
      </x:c>
      <x:c r="G16" s="293" t="n">
        <x:v>3</x:v>
      </x:c>
      <x:c r="H16" s="293" t="n">
        <x:v>4</x:v>
      </x:c>
      <x:c r="I16" s="293" t="n">
        <x:v>5</x:v>
      </x:c>
      <x:c r="J16" s="293" t="n">
        <x:v>7</x:v>
      </x:c>
      <x:c r="K16" s="293" t="n">
        <x:v>9</x:v>
      </x:c>
      <x:c r="L16" s="293" t="n">
        <x:v>12</x:v>
      </x:c>
      <x:c r="M16" s="293" t="n">
        <x:v>15</x:v>
      </x:c>
      <x:c r="N16" s="294" t="n">
        <x:f>M16</x:f>
        <x:v>15</x:v>
      </x:c>
      <x:c r="O16" s="232"/>
      <x:c r="P16" s="232"/>
      <x:c r="Q16" s="232"/>
    </x:row>
    <x:row r="17">
      <x:c r="A17" s="232" t="str">
        <x:v>Team</x:v>
      </x:c>
      <x:c r="B17" s="293" t="n">
        <x:v>0</x:v>
      </x:c>
      <x:c r="C17" s="293" t="n">
        <x:v>0</x:v>
      </x:c>
      <x:c r="D17" s="293" t="n">
        <x:v>0</x:v>
      </x:c>
      <x:c r="E17" s="293" t="n">
        <x:v>0</x:v>
      </x:c>
      <x:c r="F17" s="293" t="n">
        <x:v>0</x:v>
      </x:c>
      <x:c r="G17" s="293" t="n">
        <x:v>1</x:v>
      </x:c>
      <x:c r="H17" s="293" t="n">
        <x:v>1</x:v>
      </x:c>
      <x:c r="I17" s="293" t="n">
        <x:v>1</x:v>
      </x:c>
      <x:c r="J17" s="293" t="n">
        <x:v>2</x:v>
      </x:c>
      <x:c r="K17" s="293" t="n">
        <x:v>2</x:v>
      </x:c>
      <x:c r="L17" s="293" t="n">
        <x:v>3</x:v>
      </x:c>
      <x:c r="M17" s="293" t="n">
        <x:v>4</x:v>
      </x:c>
      <x:c r="N17" s="294" t="n">
        <x:f>M17</x:f>
        <x:v>4</x:v>
      </x:c>
      <x:c r="O17" s="232"/>
      <x:c r="P17" s="232"/>
      <x:c r="Q17" s="232"/>
    </x:row>
    <x:row r="18">
      <x:c r="A18" s="232" t="str">
        <x:v>Enterprise</x:v>
      </x:c>
      <x:c r="B18" s="293" t="n">
        <x:v>0</x:v>
      </x:c>
      <x:c r="C18" s="293" t="n">
        <x:v>0</x:v>
      </x:c>
      <x:c r="D18" s="293" t="n">
        <x:v>0</x:v>
      </x:c>
      <x:c r="E18" s="293" t="n">
        <x:v>0</x:v>
      </x:c>
      <x:c r="F18" s="293" t="n">
        <x:v>0</x:v>
      </x:c>
      <x:c r="G18" s="293" t="n">
        <x:v>0</x:v>
      </x:c>
      <x:c r="H18" s="293" t="n">
        <x:v>0</x:v>
      </x:c>
      <x:c r="I18" s="293" t="n">
        <x:v>0</x:v>
      </x:c>
      <x:c r="J18" s="293" t="n">
        <x:v>0</x:v>
      </x:c>
      <x:c r="K18" s="293" t="n">
        <x:v>0</x:v>
      </x:c>
      <x:c r="L18" s="293" t="n">
        <x:v>0</x:v>
      </x:c>
      <x:c r="M18" s="293" t="n">
        <x:v>0</x:v>
      </x:c>
      <x:c r="N18" s="294" t="n">
        <x:f>M18</x:f>
        <x:v>0</x:v>
      </x:c>
      <x:c r="O18" s="232"/>
      <x:c r="P18" s="232"/>
      <x:c r="Q18" s="232"/>
    </x:row>
    <x:row r="19">
      <x:c r="A19" s="291" t="str">
        <x:v>Total Paid Accounts</x:v>
      </x:c>
      <x:c r="B19" s="292" t="n">
        <x:f>SUM(B15:B18)</x:f>
        <x:v>0</x:v>
      </x:c>
      <x:c r="C19" s="292" t="n">
        <x:f>SUM(C15:C18)</x:f>
        <x:v>0</x:v>
      </x:c>
      <x:c r="D19" s="292" t="n">
        <x:f>SUM(D15:D18)</x:f>
        <x:v>4</x:v>
      </x:c>
      <x:c r="E19" s="292" t="n">
        <x:f>SUM(E15:E18)</x:f>
        <x:v>7</x:v>
      </x:c>
      <x:c r="F19" s="292" t="n">
        <x:f>SUM(F15:F18)</x:f>
        <x:v>12</x:v>
      </x:c>
      <x:c r="G19" s="292" t="n">
        <x:f>SUM(G15:G18)</x:f>
        <x:v>19</x:v>
      </x:c>
      <x:c r="H19" s="292" t="n">
        <x:f>SUM(H15:H18)</x:f>
        <x:v>27</x:v>
      </x:c>
      <x:c r="I19" s="292" t="n">
        <x:f>SUM(I15:I18)</x:f>
        <x:v>36</x:v>
      </x:c>
      <x:c r="J19" s="292" t="n">
        <x:f>SUM(J15:J18)</x:f>
        <x:v>49</x:v>
      </x:c>
      <x:c r="K19" s="292" t="n">
        <x:f>SUM(K15:K18)</x:f>
        <x:v>66</x:v>
      </x:c>
      <x:c r="L19" s="292" t="n">
        <x:f>SUM(L15:L18)</x:f>
        <x:v>85</x:v>
      </x:c>
      <x:c r="M19" s="292" t="n">
        <x:f>SUM(M15:M18)</x:f>
        <x:v>109</x:v>
      </x:c>
      <x:c r="N19" s="292" t="n">
        <x:f>M19</x:f>
        <x:v>109</x:v>
      </x:c>
      <x:c r="O19" s="232"/>
      <x:c r="P19" s="232"/>
      <x:c r="Q19" s="232"/>
    </x:row>
    <x:row r="20">
      <x:c r="A20" s="232"/>
      <x:c r="B20" s="294"/>
      <x:c r="C20" s="294"/>
      <x:c r="D20" s="294"/>
      <x:c r="E20" s="294"/>
      <x:c r="F20" s="294"/>
      <x:c r="G20" s="294"/>
      <x:c r="H20" s="294"/>
      <x:c r="I20" s="294"/>
      <x:c r="J20" s="294"/>
      <x:c r="K20" s="294"/>
      <x:c r="L20" s="294"/>
      <x:c r="M20" s="294"/>
      <x:c r="N20" s="294"/>
      <x:c r="O20" s="232"/>
      <x:c r="P20" s="232"/>
      <x:c r="Q20" s="232"/>
    </x:row>
    <x:row r="21">
      <x:c r="A21" s="232"/>
      <x:c r="B21" s="294"/>
      <x:c r="C21" s="294"/>
      <x:c r="D21" s="294"/>
      <x:c r="E21" s="294"/>
      <x:c r="F21" s="294"/>
      <x:c r="G21" s="294"/>
      <x:c r="H21" s="294"/>
      <x:c r="I21" s="294"/>
      <x:c r="J21" s="294"/>
      <x:c r="K21" s="294"/>
      <x:c r="L21" s="294"/>
      <x:c r="M21" s="294"/>
      <x:c r="N21" s="294"/>
      <x:c r="O21" s="232"/>
      <x:c r="P21" s="232"/>
      <x:c r="Q21" s="232"/>
    </x:row>
    <x:row r="22" ht="20" customHeight="1">
      <x:c r="A22" s="273" t="str">
        <x:v>EXPECTED SCENARIO — PROJECTED PAID ACCOUNTS</x:v>
      </x:c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32"/>
      <x:c r="P22" s="232"/>
      <x:c r="Q22" s="232"/>
    </x:row>
    <x:row r="23">
      <x:c r="A23" s="232" t="str">
        <x:v>Solo</x:v>
      </x:c>
      <x:c r="B23" s="293" t="n">
        <x:v>0</x:v>
      </x:c>
      <x:c r="C23" s="293" t="n">
        <x:v>0</x:v>
      </x:c>
      <x:c r="D23" s="293" t="n">
        <x:v>8</x:v>
      </x:c>
      <x:c r="E23" s="293" t="n">
        <x:v>15</x:v>
      </x:c>
      <x:c r="F23" s="293" t="n">
        <x:v>25</x:v>
      </x:c>
      <x:c r="G23" s="293" t="n">
        <x:v>40</x:v>
      </x:c>
      <x:c r="H23" s="293" t="n">
        <x:v>60</x:v>
      </x:c>
      <x:c r="I23" s="293" t="n">
        <x:v>85</x:v>
      </x:c>
      <x:c r="J23" s="293" t="n">
        <x:v>115</x:v>
      </x:c>
      <x:c r="K23" s="293" t="n">
        <x:v>150</x:v>
      </x:c>
      <x:c r="L23" s="293" t="n">
        <x:v>190</x:v>
      </x:c>
      <x:c r="M23" s="293" t="n">
        <x:v>240</x:v>
      </x:c>
      <x:c r="N23" s="294" t="n">
        <x:f>M23</x:f>
        <x:v>240</x:v>
      </x:c>
      <x:c r="O23" s="232"/>
      <x:c r="P23" s="232"/>
      <x:c r="Q23" s="232"/>
    </x:row>
    <x:row r="24">
      <x:c r="A24" s="232" t="str">
        <x:v>Professional</x:v>
      </x:c>
      <x:c r="B24" s="293" t="n">
        <x:v>0</x:v>
      </x:c>
      <x:c r="C24" s="293" t="n">
        <x:v>0</x:v>
      </x:c>
      <x:c r="D24" s="293" t="n">
        <x:v>2</x:v>
      </x:c>
      <x:c r="E24" s="293" t="n">
        <x:v>4</x:v>
      </x:c>
      <x:c r="F24" s="293" t="n">
        <x:v>6</x:v>
      </x:c>
      <x:c r="G24" s="293" t="n">
        <x:v>10</x:v>
      </x:c>
      <x:c r="H24" s="293" t="n">
        <x:v>14</x:v>
      </x:c>
      <x:c r="I24" s="293" t="n">
        <x:v>18</x:v>
      </x:c>
      <x:c r="J24" s="293" t="n">
        <x:v>23</x:v>
      </x:c>
      <x:c r="K24" s="293" t="n">
        <x:v>30</x:v>
      </x:c>
      <x:c r="L24" s="293" t="n">
        <x:v>38</x:v>
      </x:c>
      <x:c r="M24" s="293" t="n">
        <x:v>48</x:v>
      </x:c>
      <x:c r="N24" s="294" t="n">
        <x:f>M24</x:f>
        <x:v>48</x:v>
      </x:c>
      <x:c r="O24" s="232"/>
      <x:c r="P24" s="232"/>
      <x:c r="Q24" s="232"/>
    </x:row>
    <x:row r="25">
      <x:c r="A25" s="232" t="str">
        <x:v>Team</x:v>
      </x:c>
      <x:c r="B25" s="293" t="n">
        <x:v>0</x:v>
      </x:c>
      <x:c r="C25" s="293" t="n">
        <x:v>0</x:v>
      </x:c>
      <x:c r="D25" s="293" t="n">
        <x:v>0</x:v>
      </x:c>
      <x:c r="E25" s="293" t="n">
        <x:v>1</x:v>
      </x:c>
      <x:c r="F25" s="293" t="n">
        <x:v>1</x:v>
      </x:c>
      <x:c r="G25" s="293" t="n">
        <x:v>2</x:v>
      </x:c>
      <x:c r="H25" s="293" t="n">
        <x:v>3</x:v>
      </x:c>
      <x:c r="I25" s="293" t="n">
        <x:v>4</x:v>
      </x:c>
      <x:c r="J25" s="293" t="n">
        <x:v>5</x:v>
      </x:c>
      <x:c r="K25" s="293" t="n">
        <x:v>7</x:v>
      </x:c>
      <x:c r="L25" s="293" t="n">
        <x:v>9</x:v>
      </x:c>
      <x:c r="M25" s="293" t="n">
        <x:v>12</x:v>
      </x:c>
      <x:c r="N25" s="294" t="n">
        <x:f>M25</x:f>
        <x:v>12</x:v>
      </x:c>
      <x:c r="O25" s="232"/>
      <x:c r="P25" s="232"/>
      <x:c r="Q25" s="232"/>
    </x:row>
    <x:row r="26">
      <x:c r="A26" s="232" t="str">
        <x:v>Enterprise</x:v>
      </x:c>
      <x:c r="B26" s="293" t="n">
        <x:v>0</x:v>
      </x:c>
      <x:c r="C26" s="293" t="n">
        <x:v>0</x:v>
      </x:c>
      <x:c r="D26" s="293" t="n">
        <x:v>0</x:v>
      </x:c>
      <x:c r="E26" s="293" t="n">
        <x:v>0</x:v>
      </x:c>
      <x:c r="F26" s="293" t="n">
        <x:v>0</x:v>
      </x:c>
      <x:c r="G26" s="293" t="n">
        <x:v>0</x:v>
      </x:c>
      <x:c r="H26" s="293" t="n">
        <x:v>0</x:v>
      </x:c>
      <x:c r="I26" s="293" t="n">
        <x:v>0</x:v>
      </x:c>
      <x:c r="J26" s="293" t="n">
        <x:v>0</x:v>
      </x:c>
      <x:c r="K26" s="293" t="n">
        <x:v>0</x:v>
      </x:c>
      <x:c r="L26" s="293" t="n">
        <x:v>0</x:v>
      </x:c>
      <x:c r="M26" s="293" t="n">
        <x:v>1</x:v>
      </x:c>
      <x:c r="N26" s="294" t="n">
        <x:f>M26</x:f>
        <x:v>1</x:v>
      </x:c>
      <x:c r="O26" s="232"/>
      <x:c r="P26" s="232"/>
      <x:c r="Q26" s="232"/>
    </x:row>
    <x:row r="27">
      <x:c r="A27" s="291" t="str">
        <x:v>Total Paid Accounts</x:v>
      </x:c>
      <x:c r="B27" s="292" t="n">
        <x:f>SUM(B23:B26)</x:f>
        <x:v>0</x:v>
      </x:c>
      <x:c r="C27" s="292" t="n">
        <x:f>SUM(C23:C26)</x:f>
        <x:v>0</x:v>
      </x:c>
      <x:c r="D27" s="292" t="n">
        <x:f>SUM(D23:D26)</x:f>
        <x:v>10</x:v>
      </x:c>
      <x:c r="E27" s="292" t="n">
        <x:f>SUM(E23:E26)</x:f>
        <x:v>20</x:v>
      </x:c>
      <x:c r="F27" s="292" t="n">
        <x:f>SUM(F23:F26)</x:f>
        <x:v>32</x:v>
      </x:c>
      <x:c r="G27" s="292" t="n">
        <x:f>SUM(G23:G26)</x:f>
        <x:v>52</x:v>
      </x:c>
      <x:c r="H27" s="292" t="n">
        <x:f>SUM(H23:H26)</x:f>
        <x:v>77</x:v>
      </x:c>
      <x:c r="I27" s="292" t="n">
        <x:f>SUM(I23:I26)</x:f>
        <x:v>107</x:v>
      </x:c>
      <x:c r="J27" s="292" t="n">
        <x:f>SUM(J23:J26)</x:f>
        <x:v>143</x:v>
      </x:c>
      <x:c r="K27" s="292" t="n">
        <x:f>SUM(K23:K26)</x:f>
        <x:v>187</x:v>
      </x:c>
      <x:c r="L27" s="292" t="n">
        <x:f>SUM(L23:L26)</x:f>
        <x:v>237</x:v>
      </x:c>
      <x:c r="M27" s="292" t="n">
        <x:f>SUM(M23:M26)</x:f>
        <x:v>301</x:v>
      </x:c>
      <x:c r="N27" s="292" t="n">
        <x:f>M27</x:f>
        <x:v>301</x:v>
      </x:c>
      <x:c r="O27" s="232"/>
      <x:c r="P27" s="232"/>
      <x:c r="Q27" s="232"/>
    </x:row>
    <x:row r="28">
      <x:c r="A28" s="232"/>
      <x:c r="B28" s="294"/>
      <x:c r="C28" s="294"/>
      <x:c r="D28" s="294"/>
      <x:c r="E28" s="294"/>
      <x:c r="F28" s="294"/>
      <x:c r="G28" s="294"/>
      <x:c r="H28" s="294"/>
      <x:c r="I28" s="294"/>
      <x:c r="J28" s="294"/>
      <x:c r="K28" s="294"/>
      <x:c r="L28" s="294"/>
      <x:c r="M28" s="294"/>
      <x:c r="N28" s="294"/>
      <x:c r="O28" s="232"/>
      <x:c r="P28" s="232"/>
      <x:c r="Q28" s="232"/>
    </x:row>
    <x:row r="29">
      <x:c r="A29" s="232"/>
      <x:c r="B29" s="294"/>
      <x:c r="C29" s="294"/>
      <x:c r="D29" s="294"/>
      <x:c r="E29" s="294"/>
      <x:c r="F29" s="294"/>
      <x:c r="G29" s="294"/>
      <x:c r="H29" s="294"/>
      <x:c r="I29" s="294"/>
      <x:c r="J29" s="294"/>
      <x:c r="K29" s="294"/>
      <x:c r="L29" s="294"/>
      <x:c r="M29" s="294"/>
      <x:c r="N29" s="294"/>
      <x:c r="O29" s="232"/>
      <x:c r="P29" s="232"/>
      <x:c r="Q29" s="232"/>
    </x:row>
    <x:row r="30" ht="20" customHeight="1">
      <x:c r="A30" s="273" t="str">
        <x:v>AGGRESSIVE SCENARIO — PROJECTED PAID ACCOUNTS</x:v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32"/>
      <x:c r="P30" s="232"/>
      <x:c r="Q30" s="232"/>
    </x:row>
    <x:row r="31">
      <x:c r="A31" s="232" t="str">
        <x:v>Solo</x:v>
      </x:c>
      <x:c r="B31" s="293" t="n">
        <x:v>0</x:v>
      </x:c>
      <x:c r="C31" s="293" t="n">
        <x:v>0</x:v>
      </x:c>
      <x:c r="D31" s="293" t="n">
        <x:v>15</x:v>
      </x:c>
      <x:c r="E31" s="293" t="n">
        <x:v>30</x:v>
      </x:c>
      <x:c r="F31" s="293" t="n">
        <x:v>55</x:v>
      </x:c>
      <x:c r="G31" s="293" t="n">
        <x:v>90</x:v>
      </x:c>
      <x:c r="H31" s="293" t="n">
        <x:v>140</x:v>
      </x:c>
      <x:c r="I31" s="293" t="n">
        <x:v>210</x:v>
      </x:c>
      <x:c r="J31" s="293" t="n">
        <x:v>300</x:v>
      </x:c>
      <x:c r="K31" s="293" t="n">
        <x:v>420</x:v>
      </x:c>
      <x:c r="L31" s="293" t="n">
        <x:v>575</x:v>
      </x:c>
      <x:c r="M31" s="293" t="n">
        <x:v>750</x:v>
      </x:c>
      <x:c r="N31" s="294" t="n">
        <x:f>M31</x:f>
        <x:v>750</x:v>
      </x:c>
      <x:c r="O31" s="232"/>
      <x:c r="P31" s="232"/>
      <x:c r="Q31" s="232"/>
    </x:row>
    <x:row r="32">
      <x:c r="A32" s="232" t="str">
        <x:v>Professional</x:v>
      </x:c>
      <x:c r="B32" s="293" t="n">
        <x:v>0</x:v>
      </x:c>
      <x:c r="C32" s="293" t="n">
        <x:v>0</x:v>
      </x:c>
      <x:c r="D32" s="293" t="n">
        <x:v>4</x:v>
      </x:c>
      <x:c r="E32" s="293" t="n">
        <x:v>8</x:v>
      </x:c>
      <x:c r="F32" s="293" t="n">
        <x:v>14</x:v>
      </x:c>
      <x:c r="G32" s="293" t="n">
        <x:v>22</x:v>
      </x:c>
      <x:c r="H32" s="293" t="n">
        <x:v>34</x:v>
      </x:c>
      <x:c r="I32" s="293" t="n">
        <x:v>50</x:v>
      </x:c>
      <x:c r="J32" s="293" t="n">
        <x:v>70</x:v>
      </x:c>
      <x:c r="K32" s="293" t="n">
        <x:v>95</x:v>
      </x:c>
      <x:c r="L32" s="293" t="n">
        <x:v>125</x:v>
      </x:c>
      <x:c r="M32" s="293" t="n">
        <x:v>160</x:v>
      </x:c>
      <x:c r="N32" s="294" t="n">
        <x:f>M32</x:f>
        <x:v>160</x:v>
      </x:c>
      <x:c r="O32" s="232"/>
      <x:c r="P32" s="232"/>
      <x:c r="Q32" s="232"/>
    </x:row>
    <x:row r="33">
      <x:c r="A33" s="232" t="str">
        <x:v>Team</x:v>
      </x:c>
      <x:c r="B33" s="293" t="n">
        <x:v>0</x:v>
      </x:c>
      <x:c r="C33" s="293" t="n">
        <x:v>0</x:v>
      </x:c>
      <x:c r="D33" s="293" t="n">
        <x:v>1</x:v>
      </x:c>
      <x:c r="E33" s="293" t="n">
        <x:v>2</x:v>
      </x:c>
      <x:c r="F33" s="293" t="n">
        <x:v>3</x:v>
      </x:c>
      <x:c r="G33" s="293" t="n">
        <x:v>5</x:v>
      </x:c>
      <x:c r="H33" s="293" t="n">
        <x:v>8</x:v>
      </x:c>
      <x:c r="I33" s="293" t="n">
        <x:v>12</x:v>
      </x:c>
      <x:c r="J33" s="293" t="n">
        <x:v>18</x:v>
      </x:c>
      <x:c r="K33" s="293" t="n">
        <x:v>25</x:v>
      </x:c>
      <x:c r="L33" s="293" t="n">
        <x:v>35</x:v>
      </x:c>
      <x:c r="M33" s="293" t="n">
        <x:v>48</x:v>
      </x:c>
      <x:c r="N33" s="294" t="n">
        <x:f>M33</x:f>
        <x:v>48</x:v>
      </x:c>
      <x:c r="O33" s="232"/>
      <x:c r="P33" s="232"/>
      <x:c r="Q33" s="232"/>
    </x:row>
    <x:row r="34">
      <x:c r="A34" s="232" t="str">
        <x:v>Enterprise</x:v>
      </x:c>
      <x:c r="B34" s="293" t="n">
        <x:v>0</x:v>
      </x:c>
      <x:c r="C34" s="293" t="n">
        <x:v>0</x:v>
      </x:c>
      <x:c r="D34" s="293" t="n">
        <x:v>0</x:v>
      </x:c>
      <x:c r="E34" s="293" t="n">
        <x:v>0</x:v>
      </x:c>
      <x:c r="F34" s="293" t="n">
        <x:v>0</x:v>
      </x:c>
      <x:c r="G34" s="293" t="n">
        <x:v>0</x:v>
      </x:c>
      <x:c r="H34" s="293" t="n">
        <x:v>0</x:v>
      </x:c>
      <x:c r="I34" s="293" t="n">
        <x:v>1</x:v>
      </x:c>
      <x:c r="J34" s="293" t="n">
        <x:v>1</x:v>
      </x:c>
      <x:c r="K34" s="293" t="n">
        <x:v>2</x:v>
      </x:c>
      <x:c r="L34" s="293" t="n">
        <x:v>3</x:v>
      </x:c>
      <x:c r="M34" s="293" t="n">
        <x:v>4</x:v>
      </x:c>
      <x:c r="N34" s="294" t="n">
        <x:f>M34</x:f>
        <x:v>4</x:v>
      </x:c>
      <x:c r="O34" s="232"/>
      <x:c r="P34" s="232"/>
      <x:c r="Q34" s="232"/>
    </x:row>
    <x:row r="35">
      <x:c r="A35" s="291" t="str">
        <x:v>Total Paid Accounts</x:v>
      </x:c>
      <x:c r="B35" s="292" t="n">
        <x:f>SUM(B31:B34)</x:f>
        <x:v>0</x:v>
      </x:c>
      <x:c r="C35" s="292" t="n">
        <x:f>SUM(C31:C34)</x:f>
        <x:v>0</x:v>
      </x:c>
      <x:c r="D35" s="292" t="n">
        <x:f>SUM(D31:D34)</x:f>
        <x:v>20</x:v>
      </x:c>
      <x:c r="E35" s="292" t="n">
        <x:f>SUM(E31:E34)</x:f>
        <x:v>40</x:v>
      </x:c>
      <x:c r="F35" s="292" t="n">
        <x:f>SUM(F31:F34)</x:f>
        <x:v>72</x:v>
      </x:c>
      <x:c r="G35" s="292" t="n">
        <x:f>SUM(G31:G34)</x:f>
        <x:v>117</x:v>
      </x:c>
      <x:c r="H35" s="292" t="n">
        <x:f>SUM(H31:H34)</x:f>
        <x:v>182</x:v>
      </x:c>
      <x:c r="I35" s="292" t="n">
        <x:f>SUM(I31:I34)</x:f>
        <x:v>273</x:v>
      </x:c>
      <x:c r="J35" s="292" t="n">
        <x:f>SUM(J31:J34)</x:f>
        <x:v>389</x:v>
      </x:c>
      <x:c r="K35" s="292" t="n">
        <x:f>SUM(K31:K34)</x:f>
        <x:v>542</x:v>
      </x:c>
      <x:c r="L35" s="292" t="n">
        <x:f>SUM(L31:L34)</x:f>
        <x:v>738</x:v>
      </x:c>
      <x:c r="M35" s="292" t="n">
        <x:f>SUM(M31:M34)</x:f>
        <x:v>962</x:v>
      </x:c>
      <x:c r="N35" s="292" t="n">
        <x:f>M35</x:f>
        <x:v>962</x:v>
      </x:c>
      <x:c r="O35" s="232"/>
      <x:c r="P35" s="232"/>
      <x:c r="Q35" s="232"/>
    </x:row>
    <x:row r="36">
      <x:c r="A36" s="232"/>
      <x:c r="B36" s="232"/>
      <x:c r="C36" s="232"/>
      <x:c r="D36" s="232"/>
      <x:c r="E36" s="232"/>
      <x:c r="F36" s="232"/>
      <x:c r="G36" s="232"/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2"/>
      <x:c r="B37" s="232"/>
      <x:c r="C37" s="232"/>
      <x:c r="D37" s="232"/>
      <x:c r="E37" s="232"/>
      <x:c r="F37" s="232"/>
      <x:c r="G37" s="232"/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>
      <x:c r="A38" s="233" t="str">
        <x:v>Source / Status</x:v>
      </x:c>
      <x:c r="B38" s="233" t="str">
        <x:v>Finance projection v1.0</x:v>
      </x:c>
      <x:c r="C38" s="233" t="str">
        <x:v>Estimated</x:v>
      </x:c>
      <x:c r="D38" s="233" t="str">
        <x:v>Estimated</x:v>
      </x:c>
      <x:c r="E38" s="233" t="str">
        <x:v>Estimated</x:v>
      </x:c>
      <x:c r="F38" s="233" t="str">
        <x:v>Estimated</x:v>
      </x:c>
      <x:c r="G38" s="233" t="str">
        <x:v>Estimated</x:v>
      </x:c>
      <x:c r="H38" s="233" t="str">
        <x:v>Estimated</x:v>
      </x:c>
      <x:c r="I38" s="233" t="str">
        <x:v>Estimated</x:v>
      </x:c>
      <x:c r="J38" s="233" t="str">
        <x:v>Estimated</x:v>
      </x:c>
      <x:c r="K38" s="233" t="str">
        <x:v>Estimated</x:v>
      </x:c>
      <x:c r="L38" s="233" t="str">
        <x:v>Estimated</x:v>
      </x:c>
      <x:c r="M38" s="233" t="str">
        <x:v>Estimated</x:v>
      </x:c>
      <x:c r="N38" s="233" t="str">
        <x:v>Replace with actual paid subscriber counts</x:v>
      </x:c>
      <x:c r="O38" s="232"/>
      <x:c r="P38" s="232"/>
      <x:c r="Q38" s="232"/>
    </x:row>
    <x:row r="39">
      <x:c r="A39" s="233" t="str">
        <x:v>Business-plan alignment</x:v>
      </x:c>
      <x:c r="B39" s="233" t="str">
        <x:v>Solo founder / bootstrapped</x:v>
      </x:c>
      <x:c r="C39" s="233" t="str">
        <x:v>Construction field sales beachhead</x:v>
      </x:c>
      <x:c r="D39" s="233" t="str">
        <x:v>30-day free trial</x:v>
      </x:c>
      <x:c r="E39" s="233" t="str">
        <x:v>Tier pricing per Decision 005</x:v>
      </x:c>
      <x:c r="F39" s="233"/>
      <x:c r="G39" s="233"/>
      <x:c r="H39" s="233"/>
      <x:c r="I39" s="233"/>
      <x:c r="J39" s="233"/>
      <x:c r="K39" s="233"/>
      <x:c r="L39" s="233"/>
      <x:c r="M39" s="233"/>
      <x:c r="N39" s="233" t="str">
        <x:v>GitHub DECISIONS.md</x:v>
      </x:c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N1"/>
    <x:mergeCell ref="A2:N2"/>
    <x:mergeCell ref="A14:N14"/>
    <x:mergeCell ref="A22:N22"/>
    <x:mergeCell ref="A30:N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8" t="str">
        <x:v>Bobert — Subscription Revenue Build</x:v>
      </x:c>
      <x:c r="B1" s="418"/>
      <x:c r="C1" s="418"/>
      <x:c r="D1" s="418"/>
      <x:c r="E1" s="418"/>
      <x:c r="F1" s="418"/>
      <x:c r="G1" s="418"/>
      <x:c r="H1" s="418"/>
      <x:c r="I1" s="418"/>
      <x:c r="J1" s="418"/>
      <x:c r="K1" s="418"/>
      <x:c r="L1" s="418"/>
      <x:c r="M1" s="418"/>
      <x:c r="N1" s="418"/>
      <x:c r="O1" s="232"/>
      <x:c r="P1" s="232"/>
      <x:c r="Q1" s="232"/>
    </x:row>
    <x:row r="2">
      <x:c r="A2" s="232"/>
      <x:c r="B2" s="232"/>
      <x:c r="C2" s="232"/>
      <x:c r="D2" s="232"/>
      <x:c r="E2" s="232"/>
      <x:c r="F2" s="232"/>
      <x:c r="G2" s="232"/>
      <x:c r="H2" s="232"/>
      <x:c r="I2" s="232"/>
      <x:c r="J2" s="232"/>
      <x:c r="K2" s="232"/>
      <x:c r="L2" s="232"/>
      <x:c r="M2" s="232"/>
      <x:c r="N2" s="232"/>
      <x:c r="O2" s="232"/>
      <x:c r="P2" s="232"/>
      <x:c r="Q2" s="232"/>
    </x:row>
    <x:row r="3">
      <x:c r="A3" s="308" t="str">
        <x:v>Revenue recognition assumes monthly subscriptions. Annual plans are not included until BD and Finance approve terms.</x:v>
      </x:c>
      <x:c r="B3" s="308"/>
      <x:c r="C3" s="308"/>
      <x:c r="D3" s="308"/>
      <x:c r="E3" s="308"/>
      <x:c r="F3" s="308"/>
      <x:c r="G3" s="308"/>
      <x:c r="H3" s="308"/>
      <x:c r="I3" s="308"/>
      <x:c r="J3" s="308"/>
      <x:c r="K3" s="308"/>
      <x:c r="L3" s="308"/>
      <x:c r="M3" s="308"/>
      <x:c r="N3" s="308"/>
      <x:c r="O3" s="232"/>
      <x:c r="P3" s="232"/>
      <x:c r="Q3" s="232"/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Metric</x:v>
      </x:c>
      <x:c r="B5" s="269" t="n">
        <x:v>46235</x:v>
      </x:c>
      <x:c r="C5" s="269" t="n">
        <x:v>46266</x:v>
      </x:c>
      <x:c r="D5" s="269" t="n">
        <x:v>46296</x:v>
      </x:c>
      <x:c r="E5" s="269" t="n">
        <x:v>46327</x:v>
      </x:c>
      <x:c r="F5" s="269" t="n">
        <x:v>46357</x:v>
      </x:c>
      <x:c r="G5" s="269" t="n">
        <x:v>46388</x:v>
      </x:c>
      <x:c r="H5" s="269" t="n">
        <x:v>46419</x:v>
      </x:c>
      <x:c r="I5" s="269" t="n">
        <x:v>46447</x:v>
      </x:c>
      <x:c r="J5" s="269" t="n">
        <x:v>46478</x:v>
      </x:c>
      <x:c r="K5" s="269" t="n">
        <x:v>46508</x:v>
      </x:c>
      <x:c r="L5" s="269" t="n">
        <x:v>46539</x:v>
      </x:c>
      <x:c r="M5" s="269" t="n">
        <x:v>46569</x:v>
      </x:c>
      <x:c r="N5" s="197" t="str">
        <x:v>FY Total / Run-rate</x:v>
      </x:c>
      <x:c r="O5" s="232"/>
      <x:c r="P5" s="232"/>
      <x:c r="Q5" s="232"/>
    </x:row>
    <x:row r="6" ht="20" customHeight="1">
      <x:c r="A6" s="273" t="str">
        <x:v>PAID ACCOUNTS</x:v>
      </x:c>
      <x:c r="B6" s="273"/>
      <x:c r="C6" s="273"/>
      <x:c r="D6" s="273"/>
      <x:c r="E6" s="273"/>
      <x:c r="F6" s="273"/>
      <x:c r="G6" s="273"/>
      <x:c r="H6" s="273"/>
      <x:c r="I6" s="273"/>
      <x:c r="J6" s="273"/>
      <x:c r="K6" s="273"/>
      <x:c r="L6" s="273"/>
      <x:c r="M6" s="273"/>
      <x:c r="N6" s="273"/>
      <x:c r="O6" s="232"/>
      <x:c r="P6" s="232"/>
      <x:c r="Q6" s="232"/>
    </x:row>
    <x:row r="7">
      <x:c r="A7" s="232" t="str">
        <x:v>Solo</x:v>
      </x:c>
      <x:c r="B7" s="290" t="n">
        <x:f>'Subscriber Plan'!B7</x:f>
        <x:v>0</x:v>
      </x:c>
      <x:c r="C7" s="290" t="n">
        <x:f>'Subscriber Plan'!C7</x:f>
        <x:v>0</x:v>
      </x:c>
      <x:c r="D7" s="290" t="n">
        <x:f>'Subscriber Plan'!D7</x:f>
        <x:v>8</x:v>
      </x:c>
      <x:c r="E7" s="290" t="n">
        <x:f>'Subscriber Plan'!E7</x:f>
        <x:v>15</x:v>
      </x:c>
      <x:c r="F7" s="290" t="n">
        <x:f>'Subscriber Plan'!F7</x:f>
        <x:v>25</x:v>
      </x:c>
      <x:c r="G7" s="290" t="n">
        <x:f>'Subscriber Plan'!G7</x:f>
        <x:v>40</x:v>
      </x:c>
      <x:c r="H7" s="290" t="n">
        <x:f>'Subscriber Plan'!H7</x:f>
        <x:v>60</x:v>
      </x:c>
      <x:c r="I7" s="290" t="n">
        <x:f>'Subscriber Plan'!I7</x:f>
        <x:v>85</x:v>
      </x:c>
      <x:c r="J7" s="290" t="n">
        <x:f>'Subscriber Plan'!J7</x:f>
        <x:v>115</x:v>
      </x:c>
      <x:c r="K7" s="290" t="n">
        <x:f>'Subscriber Plan'!K7</x:f>
        <x:v>150</x:v>
      </x:c>
      <x:c r="L7" s="290" t="n">
        <x:f>'Subscriber Plan'!L7</x:f>
        <x:v>190</x:v>
      </x:c>
      <x:c r="M7" s="290" t="n">
        <x:f>'Subscriber Plan'!M7</x:f>
        <x:v>240</x:v>
      </x:c>
      <x:c r="N7" s="290" t="n">
        <x:f>M7</x:f>
        <x:v>240</x:v>
      </x:c>
      <x:c r="O7" s="232"/>
      <x:c r="P7" s="232"/>
      <x:c r="Q7" s="232"/>
    </x:row>
    <x:row r="8">
      <x:c r="A8" s="232" t="str">
        <x:v>Professional</x:v>
      </x:c>
      <x:c r="B8" s="290" t="n">
        <x:f>'Subscriber Plan'!B8</x:f>
        <x:v>0</x:v>
      </x:c>
      <x:c r="C8" s="290" t="n">
        <x:f>'Subscriber Plan'!C8</x:f>
        <x:v>0</x:v>
      </x:c>
      <x:c r="D8" s="290" t="n">
        <x:f>'Subscriber Plan'!D8</x:f>
        <x:v>2</x:v>
      </x:c>
      <x:c r="E8" s="290" t="n">
        <x:f>'Subscriber Plan'!E8</x:f>
        <x:v>4</x:v>
      </x:c>
      <x:c r="F8" s="290" t="n">
        <x:f>'Subscriber Plan'!F8</x:f>
        <x:v>6</x:v>
      </x:c>
      <x:c r="G8" s="290" t="n">
        <x:f>'Subscriber Plan'!G8</x:f>
        <x:v>10</x:v>
      </x:c>
      <x:c r="H8" s="290" t="n">
        <x:f>'Subscriber Plan'!H8</x:f>
        <x:v>14</x:v>
      </x:c>
      <x:c r="I8" s="290" t="n">
        <x:f>'Subscriber Plan'!I8</x:f>
        <x:v>18</x:v>
      </x:c>
      <x:c r="J8" s="290" t="n">
        <x:f>'Subscriber Plan'!J8</x:f>
        <x:v>23</x:v>
      </x:c>
      <x:c r="K8" s="290" t="n">
        <x:f>'Subscriber Plan'!K8</x:f>
        <x:v>30</x:v>
      </x:c>
      <x:c r="L8" s="290" t="n">
        <x:f>'Subscriber Plan'!L8</x:f>
        <x:v>38</x:v>
      </x:c>
      <x:c r="M8" s="290" t="n">
        <x:f>'Subscriber Plan'!M8</x:f>
        <x:v>48</x:v>
      </x:c>
      <x:c r="N8" s="290" t="n">
        <x:f>M8</x:f>
        <x:v>48</x:v>
      </x:c>
      <x:c r="O8" s="232"/>
      <x:c r="P8" s="232"/>
      <x:c r="Q8" s="232"/>
    </x:row>
    <x:row r="9">
      <x:c r="A9" s="232" t="str">
        <x:v>Team</x:v>
      </x:c>
      <x:c r="B9" s="290" t="n">
        <x:f>'Subscriber Plan'!B9</x:f>
        <x:v>0</x:v>
      </x:c>
      <x:c r="C9" s="290" t="n">
        <x:f>'Subscriber Plan'!C9</x:f>
        <x:v>0</x:v>
      </x:c>
      <x:c r="D9" s="290" t="n">
        <x:f>'Subscriber Plan'!D9</x:f>
        <x:v>0</x:v>
      </x:c>
      <x:c r="E9" s="290" t="n">
        <x:f>'Subscriber Plan'!E9</x:f>
        <x:v>1</x:v>
      </x:c>
      <x:c r="F9" s="290" t="n">
        <x:f>'Subscriber Plan'!F9</x:f>
        <x:v>1</x:v>
      </x:c>
      <x:c r="G9" s="290" t="n">
        <x:f>'Subscriber Plan'!G9</x:f>
        <x:v>2</x:v>
      </x:c>
      <x:c r="H9" s="290" t="n">
        <x:f>'Subscriber Plan'!H9</x:f>
        <x:v>3</x:v>
      </x:c>
      <x:c r="I9" s="290" t="n">
        <x:f>'Subscriber Plan'!I9</x:f>
        <x:v>4</x:v>
      </x:c>
      <x:c r="J9" s="290" t="n">
        <x:f>'Subscriber Plan'!J9</x:f>
        <x:v>5</x:v>
      </x:c>
      <x:c r="K9" s="290" t="n">
        <x:f>'Subscriber Plan'!K9</x:f>
        <x:v>7</x:v>
      </x:c>
      <x:c r="L9" s="290" t="n">
        <x:f>'Subscriber Plan'!L9</x:f>
        <x:v>9</x:v>
      </x:c>
      <x:c r="M9" s="290" t="n">
        <x:f>'Subscriber Plan'!M9</x:f>
        <x:v>12</x:v>
      </x:c>
      <x:c r="N9" s="290" t="n">
        <x:f>M9</x:f>
        <x:v>12</x:v>
      </x:c>
      <x:c r="O9" s="232"/>
      <x:c r="P9" s="232"/>
      <x:c r="Q9" s="232"/>
    </x:row>
    <x:row r="10">
      <x:c r="A10" s="232" t="str">
        <x:v>Enterprise</x:v>
      </x:c>
      <x:c r="B10" s="290" t="n">
        <x:f>'Subscriber Plan'!B10</x:f>
        <x:v>0</x:v>
      </x:c>
      <x:c r="C10" s="290" t="n">
        <x:f>'Subscriber Plan'!C10</x:f>
        <x:v>0</x:v>
      </x:c>
      <x:c r="D10" s="290" t="n">
        <x:f>'Subscriber Plan'!D10</x:f>
        <x:v>0</x:v>
      </x:c>
      <x:c r="E10" s="290" t="n">
        <x:f>'Subscriber Plan'!E10</x:f>
        <x:v>0</x:v>
      </x:c>
      <x:c r="F10" s="290" t="n">
        <x:f>'Subscriber Plan'!F10</x:f>
        <x:v>0</x:v>
      </x:c>
      <x:c r="G10" s="290" t="n">
        <x:f>'Subscriber Plan'!G10</x:f>
        <x:v>0</x:v>
      </x:c>
      <x:c r="H10" s="290" t="n">
        <x:f>'Subscriber Plan'!H10</x:f>
        <x:v>0</x:v>
      </x:c>
      <x:c r="I10" s="290" t="n">
        <x:f>'Subscriber Plan'!I10</x:f>
        <x:v>0</x:v>
      </x:c>
      <x:c r="J10" s="290" t="n">
        <x:f>'Subscriber Plan'!J10</x:f>
        <x:v>0</x:v>
      </x:c>
      <x:c r="K10" s="290" t="n">
        <x:f>'Subscriber Plan'!K10</x:f>
        <x:v>0</x:v>
      </x:c>
      <x:c r="L10" s="290" t="n">
        <x:f>'Subscriber Plan'!L10</x:f>
        <x:v>0</x:v>
      </x:c>
      <x:c r="M10" s="290" t="n">
        <x:f>'Subscriber Plan'!M10</x:f>
        <x:v>1</x:v>
      </x:c>
      <x:c r="N10" s="290" t="n">
        <x:f>M10</x:f>
        <x:v>1</x:v>
      </x:c>
      <x:c r="O10" s="232"/>
      <x:c r="P10" s="232"/>
      <x:c r="Q10" s="232"/>
    </x:row>
    <x:row r="11">
      <x:c r="A11" s="291" t="str">
        <x:v>Total Paid Accounts</x:v>
      </x:c>
      <x:c r="B11" s="292" t="n">
        <x:f>SUM(B7:B10)</x:f>
        <x:v>0</x:v>
      </x:c>
      <x:c r="C11" s="292" t="n">
        <x:f>SUM(C7:C10)</x:f>
        <x:v>0</x:v>
      </x:c>
      <x:c r="D11" s="292" t="n">
        <x:f>SUM(D7:D10)</x:f>
        <x:v>10</x:v>
      </x:c>
      <x:c r="E11" s="292" t="n">
        <x:f>SUM(E7:E10)</x:f>
        <x:v>20</x:v>
      </x:c>
      <x:c r="F11" s="292" t="n">
        <x:f>SUM(F7:F10)</x:f>
        <x:v>32</x:v>
      </x:c>
      <x:c r="G11" s="292" t="n">
        <x:f>SUM(G7:G10)</x:f>
        <x:v>52</x:v>
      </x:c>
      <x:c r="H11" s="292" t="n">
        <x:f>SUM(H7:H10)</x:f>
        <x:v>77</x:v>
      </x:c>
      <x:c r="I11" s="292" t="n">
        <x:f>SUM(I7:I10)</x:f>
        <x:v>107</x:v>
      </x:c>
      <x:c r="J11" s="292" t="n">
        <x:f>SUM(J7:J10)</x:f>
        <x:v>143</x:v>
      </x:c>
      <x:c r="K11" s="292" t="n">
        <x:f>SUM(K7:K10)</x:f>
        <x:v>187</x:v>
      </x:c>
      <x:c r="L11" s="292" t="n">
        <x:f>SUM(L7:L10)</x:f>
        <x:v>237</x:v>
      </x:c>
      <x:c r="M11" s="292" t="n">
        <x:f>SUM(M7:M10)</x:f>
        <x:v>301</x:v>
      </x:c>
      <x:c r="N11" s="292" t="n">
        <x:f>M11</x:f>
        <x:v>301</x:v>
      </x:c>
      <x:c r="O11" s="232"/>
      <x:c r="P11" s="232"/>
      <x:c r="Q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</x:row>
    <x:row r="13" ht="20" customHeight="1">
      <x:c r="A13" s="273" t="str">
        <x:v>MONTHLY RECURRING REVENUE</x:v>
      </x:c>
      <x:c r="B13" s="273"/>
      <x:c r="C13" s="273"/>
      <x:c r="D13" s="273"/>
      <x:c r="E13" s="273"/>
      <x:c r="F13" s="273"/>
      <x:c r="G13" s="273"/>
      <x:c r="H13" s="273"/>
      <x:c r="I13" s="273"/>
      <x:c r="J13" s="273"/>
      <x:c r="K13" s="273"/>
      <x:c r="L13" s="273"/>
      <x:c r="M13" s="273"/>
      <x:c r="N13" s="273"/>
      <x:c r="O13" s="232"/>
      <x:c r="P13" s="232"/>
      <x:c r="Q13" s="232"/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</x:row>
    <x:row r="15">
      <x:c r="A15" s="232" t="str">
        <x:v>Solo MRR</x:v>
      </x:c>
      <x:c r="B15" s="309" t="n">
        <x:f>'Subscriber Plan'!B7*'Assumptions'!$B$15</x:f>
        <x:v>0</x:v>
      </x:c>
      <x:c r="C15" s="309" t="n">
        <x:f>'Subscriber Plan'!C7*'Assumptions'!$B$15</x:f>
        <x:v>0</x:v>
      </x:c>
      <x:c r="D15" s="309" t="n">
        <x:f>'Subscriber Plan'!D7*'Assumptions'!$B$15</x:f>
        <x:v>472</x:v>
      </x:c>
      <x:c r="E15" s="309" t="n">
        <x:f>'Subscriber Plan'!E7*'Assumptions'!$B$15</x:f>
        <x:v>885</x:v>
      </x:c>
      <x:c r="F15" s="309" t="n">
        <x:f>'Subscriber Plan'!F7*'Assumptions'!$B$15</x:f>
        <x:v>1475</x:v>
      </x:c>
      <x:c r="G15" s="309" t="n">
        <x:f>'Subscriber Plan'!G7*'Assumptions'!$B$15</x:f>
        <x:v>2360</x:v>
      </x:c>
      <x:c r="H15" s="309" t="n">
        <x:f>'Subscriber Plan'!H7*'Assumptions'!$B$15</x:f>
        <x:v>3540</x:v>
      </x:c>
      <x:c r="I15" s="309" t="n">
        <x:f>'Subscriber Plan'!I7*'Assumptions'!$B$15</x:f>
        <x:v>5015</x:v>
      </x:c>
      <x:c r="J15" s="309" t="n">
        <x:f>'Subscriber Plan'!J7*'Assumptions'!$B$15</x:f>
        <x:v>6785</x:v>
      </x:c>
      <x:c r="K15" s="309" t="n">
        <x:f>'Subscriber Plan'!K7*'Assumptions'!$B$15</x:f>
        <x:v>8850</x:v>
      </x:c>
      <x:c r="L15" s="309" t="n">
        <x:f>'Subscriber Plan'!L7*'Assumptions'!$B$15</x:f>
        <x:v>11210</x:v>
      </x:c>
      <x:c r="M15" s="309" t="n">
        <x:f>'Subscriber Plan'!M7*'Assumptions'!$B$15</x:f>
        <x:v>14160</x:v>
      </x:c>
      <x:c r="N15" s="309" t="n">
        <x:f>SUM(B15:M15)</x:f>
        <x:v>54752</x:v>
      </x:c>
      <x:c r="O15" s="232"/>
      <x:c r="P15" s="232"/>
      <x:c r="Q15" s="232"/>
    </x:row>
    <x:row r="16">
      <x:c r="A16" s="232" t="str">
        <x:v>Professional MRR</x:v>
      </x:c>
      <x:c r="B16" s="309" t="n">
        <x:f>'Subscriber Plan'!B8*'Assumptions'!$B$16</x:f>
        <x:v>0</x:v>
      </x:c>
      <x:c r="C16" s="309" t="n">
        <x:f>'Subscriber Plan'!C8*'Assumptions'!$B$16</x:f>
        <x:v>0</x:v>
      </x:c>
      <x:c r="D16" s="309" t="n">
        <x:f>'Subscriber Plan'!D8*'Assumptions'!$B$16</x:f>
        <x:v>238</x:v>
      </x:c>
      <x:c r="E16" s="309" t="n">
        <x:f>'Subscriber Plan'!E8*'Assumptions'!$B$16</x:f>
        <x:v>476</x:v>
      </x:c>
      <x:c r="F16" s="309" t="n">
        <x:f>'Subscriber Plan'!F8*'Assumptions'!$B$16</x:f>
        <x:v>714</x:v>
      </x:c>
      <x:c r="G16" s="309" t="n">
        <x:f>'Subscriber Plan'!G8*'Assumptions'!$B$16</x:f>
        <x:v>1190</x:v>
      </x:c>
      <x:c r="H16" s="309" t="n">
        <x:f>'Subscriber Plan'!H8*'Assumptions'!$B$16</x:f>
        <x:v>1666</x:v>
      </x:c>
      <x:c r="I16" s="309" t="n">
        <x:f>'Subscriber Plan'!I8*'Assumptions'!$B$16</x:f>
        <x:v>2142</x:v>
      </x:c>
      <x:c r="J16" s="309" t="n">
        <x:f>'Subscriber Plan'!J8*'Assumptions'!$B$16</x:f>
        <x:v>2737</x:v>
      </x:c>
      <x:c r="K16" s="309" t="n">
        <x:f>'Subscriber Plan'!K8*'Assumptions'!$B$16</x:f>
        <x:v>3570</x:v>
      </x:c>
      <x:c r="L16" s="309" t="n">
        <x:f>'Subscriber Plan'!L8*'Assumptions'!$B$16</x:f>
        <x:v>4522</x:v>
      </x:c>
      <x:c r="M16" s="309" t="n">
        <x:f>'Subscriber Plan'!M8*'Assumptions'!$B$16</x:f>
        <x:v>5712</x:v>
      </x:c>
      <x:c r="N16" s="309" t="n">
        <x:f>SUM(B16:M16)</x:f>
        <x:v>22967</x:v>
      </x:c>
      <x:c r="O16" s="232"/>
      <x:c r="P16" s="232"/>
      <x:c r="Q16" s="232"/>
    </x:row>
    <x:row r="17">
      <x:c r="A17" s="232" t="str">
        <x:v>Team MRR</x:v>
      </x:c>
      <x:c r="B17" s="309" t="n">
        <x:f>'Subscriber Plan'!B9*'Assumptions'!$B$17</x:f>
        <x:v>0</x:v>
      </x:c>
      <x:c r="C17" s="309" t="n">
        <x:f>'Subscriber Plan'!C9*'Assumptions'!$B$17</x:f>
        <x:v>0</x:v>
      </x:c>
      <x:c r="D17" s="309" t="n">
        <x:f>'Subscriber Plan'!D9*'Assumptions'!$B$17</x:f>
        <x:v>0</x:v>
      </x:c>
      <x:c r="E17" s="309" t="n">
        <x:f>'Subscriber Plan'!E9*'Assumptions'!$B$17</x:f>
        <x:v>349</x:v>
      </x:c>
      <x:c r="F17" s="309" t="n">
        <x:f>'Subscriber Plan'!F9*'Assumptions'!$B$17</x:f>
        <x:v>349</x:v>
      </x:c>
      <x:c r="G17" s="309" t="n">
        <x:f>'Subscriber Plan'!G9*'Assumptions'!$B$17</x:f>
        <x:v>698</x:v>
      </x:c>
      <x:c r="H17" s="309" t="n">
        <x:f>'Subscriber Plan'!H9*'Assumptions'!$B$17</x:f>
        <x:v>1047</x:v>
      </x:c>
      <x:c r="I17" s="309" t="n">
        <x:f>'Subscriber Plan'!I9*'Assumptions'!$B$17</x:f>
        <x:v>1396</x:v>
      </x:c>
      <x:c r="J17" s="309" t="n">
        <x:f>'Subscriber Plan'!J9*'Assumptions'!$B$17</x:f>
        <x:v>1745</x:v>
      </x:c>
      <x:c r="K17" s="309" t="n">
        <x:f>'Subscriber Plan'!K9*'Assumptions'!$B$17</x:f>
        <x:v>2443</x:v>
      </x:c>
      <x:c r="L17" s="309" t="n">
        <x:f>'Subscriber Plan'!L9*'Assumptions'!$B$17</x:f>
        <x:v>3141</x:v>
      </x:c>
      <x:c r="M17" s="309" t="n">
        <x:f>'Subscriber Plan'!M9*'Assumptions'!$B$17</x:f>
        <x:v>4188</x:v>
      </x:c>
      <x:c r="N17" s="309" t="n">
        <x:f>SUM(B17:M17)</x:f>
        <x:v>15356</x:v>
      </x:c>
      <x:c r="O17" s="232"/>
      <x:c r="P17" s="232"/>
      <x:c r="Q17" s="232"/>
    </x:row>
    <x:row r="18">
      <x:c r="A18" s="232" t="str">
        <x:v>Enterprise MRR</x:v>
      </x:c>
      <x:c r="B18" s="309" t="n">
        <x:f>'Subscriber Plan'!B10*'Assumptions'!$B$18</x:f>
        <x:v>0</x:v>
      </x:c>
      <x:c r="C18" s="309" t="n">
        <x:f>'Subscriber Plan'!C10*'Assumptions'!$B$18</x:f>
        <x:v>0</x:v>
      </x:c>
      <x:c r="D18" s="309" t="n">
        <x:f>'Subscriber Plan'!D10*'Assumptions'!$B$18</x:f>
        <x:v>0</x:v>
      </x:c>
      <x:c r="E18" s="309" t="n">
        <x:f>'Subscriber Plan'!E10*'Assumptions'!$B$18</x:f>
        <x:v>0</x:v>
      </x:c>
      <x:c r="F18" s="309" t="n">
        <x:f>'Subscriber Plan'!F10*'Assumptions'!$B$18</x:f>
        <x:v>0</x:v>
      </x:c>
      <x:c r="G18" s="309" t="n">
        <x:f>'Subscriber Plan'!G10*'Assumptions'!$B$18</x:f>
        <x:v>0</x:v>
      </x:c>
      <x:c r="H18" s="309" t="n">
        <x:f>'Subscriber Plan'!H10*'Assumptions'!$B$18</x:f>
        <x:v>0</x:v>
      </x:c>
      <x:c r="I18" s="309" t="n">
        <x:f>'Subscriber Plan'!I10*'Assumptions'!$B$18</x:f>
        <x:v>0</x:v>
      </x:c>
      <x:c r="J18" s="309" t="n">
        <x:f>'Subscriber Plan'!J10*'Assumptions'!$B$18</x:f>
        <x:v>0</x:v>
      </x:c>
      <x:c r="K18" s="309" t="n">
        <x:f>'Subscriber Plan'!K10*'Assumptions'!$B$18</x:f>
        <x:v>0</x:v>
      </x:c>
      <x:c r="L18" s="309" t="n">
        <x:f>'Subscriber Plan'!L10*'Assumptions'!$B$18</x:f>
        <x:v>0</x:v>
      </x:c>
      <x:c r="M18" s="309" t="n">
        <x:f>'Subscriber Plan'!M10*'Assumptions'!$B$18</x:f>
        <x:v>1500</x:v>
      </x:c>
      <x:c r="N18" s="309" t="n">
        <x:f>SUM(B18:M18)</x:f>
        <x:v>1500</x:v>
      </x:c>
      <x:c r="O18" s="232"/>
      <x:c r="P18" s="232"/>
      <x:c r="Q18" s="232"/>
    </x:row>
    <x:row r="19">
      <x:c r="A19" s="291" t="str">
        <x:v>Total MRR</x:v>
      </x:c>
      <x:c r="B19" s="310" t="n">
        <x:f>SUM(B15:B18)</x:f>
        <x:v>0</x:v>
      </x:c>
      <x:c r="C19" s="310" t="n">
        <x:f>SUM(C15:C18)</x:f>
        <x:v>0</x:v>
      </x:c>
      <x:c r="D19" s="310" t="n">
        <x:f>SUM(D15:D18)</x:f>
        <x:v>710</x:v>
      </x:c>
      <x:c r="E19" s="310" t="n">
        <x:f>SUM(E15:E18)</x:f>
        <x:v>1710</x:v>
      </x:c>
      <x:c r="F19" s="310" t="n">
        <x:f>SUM(F15:F18)</x:f>
        <x:v>2538</x:v>
      </x:c>
      <x:c r="G19" s="310" t="n">
        <x:f>SUM(G15:G18)</x:f>
        <x:v>4248</x:v>
      </x:c>
      <x:c r="H19" s="310" t="n">
        <x:f>SUM(H15:H18)</x:f>
        <x:v>6253</x:v>
      </x:c>
      <x:c r="I19" s="310" t="n">
        <x:f>SUM(I15:I18)</x:f>
        <x:v>8553</x:v>
      </x:c>
      <x:c r="J19" s="310" t="n">
        <x:f>SUM(J15:J18)</x:f>
        <x:v>11267</x:v>
      </x:c>
      <x:c r="K19" s="310" t="n">
        <x:f>SUM(K15:K18)</x:f>
        <x:v>14863</x:v>
      </x:c>
      <x:c r="L19" s="310" t="n">
        <x:f>SUM(L15:L18)</x:f>
        <x:v>18873</x:v>
      </x:c>
      <x:c r="M19" s="310" t="n">
        <x:f>SUM(M15:M18)</x:f>
        <x:v>25560</x:v>
      </x:c>
      <x:c r="N19" s="310" t="n">
        <x:f>SUM(B19:M19)</x:f>
        <x:v>94575</x:v>
      </x:c>
      <x:c r="O19" s="232"/>
      <x:c r="P19" s="232"/>
      <x:c r="Q19" s="232"/>
    </x:row>
    <x:row r="20">
      <x:c r="A20" s="232" t="str">
        <x:v>ARR Run-rate</x:v>
      </x:c>
      <x:c r="B20" s="309" t="n">
        <x:f>B19*12</x:f>
        <x:v>0</x:v>
      </x:c>
      <x:c r="C20" s="309" t="n">
        <x:f>C19*12</x:f>
        <x:v>0</x:v>
      </x:c>
      <x:c r="D20" s="309" t="n">
        <x:f>D19*12</x:f>
        <x:v>8520</x:v>
      </x:c>
      <x:c r="E20" s="309" t="n">
        <x:f>E19*12</x:f>
        <x:v>20520</x:v>
      </x:c>
      <x:c r="F20" s="309" t="n">
        <x:f>F19*12</x:f>
        <x:v>30456</x:v>
      </x:c>
      <x:c r="G20" s="309" t="n">
        <x:f>G19*12</x:f>
        <x:v>50976</x:v>
      </x:c>
      <x:c r="H20" s="309" t="n">
        <x:f>H19*12</x:f>
        <x:v>75036</x:v>
      </x:c>
      <x:c r="I20" s="309" t="n">
        <x:f>I19*12</x:f>
        <x:v>102636</x:v>
      </x:c>
      <x:c r="J20" s="309" t="n">
        <x:f>J19*12</x:f>
        <x:v>135204</x:v>
      </x:c>
      <x:c r="K20" s="309" t="n">
        <x:f>K19*12</x:f>
        <x:v>178356</x:v>
      </x:c>
      <x:c r="L20" s="309" t="n">
        <x:f>L19*12</x:f>
        <x:v>226476</x:v>
      </x:c>
      <x:c r="M20" s="309" t="n">
        <x:f>M19*12</x:f>
        <x:v>306720</x:v>
      </x:c>
      <x:c r="N20" s="309" t="n">
        <x:f>M20</x:f>
        <x:v>306720</x:v>
      </x:c>
      <x:c r="O20" s="232"/>
      <x:c r="P20" s="232"/>
      <x:c r="Q20" s="232"/>
    </x:row>
    <x:row r="21">
      <x:c r="A21" s="232" t="str">
        <x:v>Average Revenue / Paid Account</x:v>
      </x:c>
      <x:c r="B21" s="309" t="n">
        <x:f>IFERROR(B19/B11,0)</x:f>
        <x:v>0</x:v>
      </x:c>
      <x:c r="C21" s="309" t="n">
        <x:f>IFERROR(C19/C11,0)</x:f>
        <x:v>0</x:v>
      </x:c>
      <x:c r="D21" s="309" t="n">
        <x:f>IFERROR(D19/D11,0)</x:f>
        <x:v>71</x:v>
      </x:c>
      <x:c r="E21" s="309" t="n">
        <x:f>IFERROR(E19/E11,0)</x:f>
        <x:v>85.5</x:v>
      </x:c>
      <x:c r="F21" s="309" t="n">
        <x:f>IFERROR(F19/F11,0)</x:f>
        <x:v>79.3125</x:v>
      </x:c>
      <x:c r="G21" s="309" t="n">
        <x:f>IFERROR(G19/G11,0)</x:f>
        <x:v>81.6923076923077</x:v>
      </x:c>
      <x:c r="H21" s="309" t="n">
        <x:f>IFERROR(H19/H11,0)</x:f>
        <x:v>81.20779220779221</x:v>
      </x:c>
      <x:c r="I21" s="309" t="n">
        <x:f>IFERROR(I19/I11,0)</x:f>
        <x:v>79.93457943925233</x:v>
      </x:c>
      <x:c r="J21" s="309" t="n">
        <x:f>IFERROR(J19/J11,0)</x:f>
        <x:v>78.79020979020979</x:v>
      </x:c>
      <x:c r="K21" s="309" t="n">
        <x:f>IFERROR(K19/K11,0)</x:f>
        <x:v>79.4812834224599</x:v>
      </x:c>
      <x:c r="L21" s="309" t="n">
        <x:f>IFERROR(L19/L11,0)</x:f>
        <x:v>79.63291139240506</x:v>
      </x:c>
      <x:c r="M21" s="309" t="n">
        <x:f>IFERROR(M19/M11,0)</x:f>
        <x:v>84.91694352159469</x:v>
      </x:c>
      <x:c r="N21" s="309" t="n">
        <x:f>IFERROR(N19/SUM(B11:M11),0)</x:f>
        <x:v>81.11063464837049</x:v>
      </x:c>
      <x:c r="O21" s="232"/>
      <x:c r="P21" s="232"/>
      <x:c r="Q21" s="232"/>
    </x:row>
    <x:row r="22">
      <x:c r="A22" s="232" t="str">
        <x:v>Mobile App Revenue</x:v>
      </x:c>
      <x:c r="B22" s="309" t="n">
        <x:f>B19*'Assumptions'!$B$30</x:f>
        <x:v>0</x:v>
      </x:c>
      <x:c r="C22" s="309" t="n">
        <x:f>C19*'Assumptions'!$B$30</x:f>
        <x:v>0</x:v>
      </x:c>
      <x:c r="D22" s="309" t="n">
        <x:f>D19*'Assumptions'!$B$30</x:f>
        <x:v>284</x:v>
      </x:c>
      <x:c r="E22" s="309" t="n">
        <x:f>E19*'Assumptions'!$B$30</x:f>
        <x:v>684</x:v>
      </x:c>
      <x:c r="F22" s="309" t="n">
        <x:f>F19*'Assumptions'!$B$30</x:f>
        <x:v>1015.2</x:v>
      </x:c>
      <x:c r="G22" s="309" t="n">
        <x:f>G19*'Assumptions'!$B$30</x:f>
        <x:v>1699.2</x:v>
      </x:c>
      <x:c r="H22" s="309" t="n">
        <x:f>H19*'Assumptions'!$B$30</x:f>
        <x:v>2501.2000000000003</x:v>
      </x:c>
      <x:c r="I22" s="309" t="n">
        <x:f>I19*'Assumptions'!$B$30</x:f>
        <x:v>3421.2000000000003</x:v>
      </x:c>
      <x:c r="J22" s="309" t="n">
        <x:f>J19*'Assumptions'!$B$30</x:f>
        <x:v>4506.8</x:v>
      </x:c>
      <x:c r="K22" s="309" t="n">
        <x:f>K19*'Assumptions'!$B$30</x:f>
        <x:v>5945.200000000001</x:v>
      </x:c>
      <x:c r="L22" s="309" t="n">
        <x:f>L19*'Assumptions'!$B$30</x:f>
        <x:v>7549.200000000001</x:v>
      </x:c>
      <x:c r="M22" s="309" t="n">
        <x:f>M19*'Assumptions'!$B$30</x:f>
        <x:v>10224</x:v>
      </x:c>
      <x:c r="N22" s="309" t="n">
        <x:f>SUM(B22:M22)</x:f>
        <x:v>37830</x:v>
      </x:c>
      <x:c r="O22" s="232"/>
      <x:c r="P22" s="232"/>
      <x:c r="Q22" s="232"/>
    </x:row>
    <x:row r="23">
      <x:c r="A23" s="232" t="str">
        <x:v>Direct Web Revenue</x:v>
      </x:c>
      <x:c r="B23" s="309" t="n">
        <x:f>B19*'Assumptions'!$B$29</x:f>
        <x:v>0</x:v>
      </x:c>
      <x:c r="C23" s="309" t="n">
        <x:f>C19*'Assumptions'!$B$29</x:f>
        <x:v>0</x:v>
      </x:c>
      <x:c r="D23" s="309" t="n">
        <x:f>D19*'Assumptions'!$B$29</x:f>
        <x:v>426</x:v>
      </x:c>
      <x:c r="E23" s="309" t="n">
        <x:f>E19*'Assumptions'!$B$29</x:f>
        <x:v>1026</x:v>
      </x:c>
      <x:c r="F23" s="309" t="n">
        <x:f>F19*'Assumptions'!$B$29</x:f>
        <x:v>1522.8</x:v>
      </x:c>
      <x:c r="G23" s="309" t="n">
        <x:f>G19*'Assumptions'!$B$29</x:f>
        <x:v>2548.7999999999997</x:v>
      </x:c>
      <x:c r="H23" s="309" t="n">
        <x:f>H19*'Assumptions'!$B$29</x:f>
        <x:v>3751.7999999999997</x:v>
      </x:c>
      <x:c r="I23" s="309" t="n">
        <x:f>I19*'Assumptions'!$B$29</x:f>
        <x:v>5131.8</x:v>
      </x:c>
      <x:c r="J23" s="309" t="n">
        <x:f>J19*'Assumptions'!$B$29</x:f>
        <x:v>6760.2</x:v>
      </x:c>
      <x:c r="K23" s="309" t="n">
        <x:f>K19*'Assumptions'!$B$29</x:f>
        <x:v>8917.8</x:v>
      </x:c>
      <x:c r="L23" s="309" t="n">
        <x:f>L19*'Assumptions'!$B$29</x:f>
        <x:v>11323.8</x:v>
      </x:c>
      <x:c r="M23" s="309" t="n">
        <x:f>M19*'Assumptions'!$B$29</x:f>
        <x:v>15336</x:v>
      </x:c>
      <x:c r="N23" s="309" t="n">
        <x:f>SUM(B23:M23)</x:f>
        <x:v>56745</x:v>
      </x:c>
      <x:c r="O23" s="232"/>
      <x:c r="P23" s="232"/>
      <x:c r="Q23" s="232"/>
    </x:row>
    <x:row r="24">
      <x:c r="A24" s="232"/>
      <x:c r="B24" s="232"/>
      <x:c r="C24" s="232"/>
      <x:c r="D24" s="232"/>
      <x:c r="E24" s="232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</x:row>
    <x:row r="25">
      <x:c r="A25" s="232"/>
      <x:c r="B25" s="232"/>
      <x:c r="C25" s="232"/>
      <x:c r="D25" s="232"/>
      <x:c r="E25" s="232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</x:row>
    <x:row r="26">
      <x:c r="A26" s="232"/>
      <x:c r="B26" s="232"/>
      <x:c r="C26" s="232"/>
      <x:c r="D26" s="232"/>
      <x:c r="E26" s="232"/>
      <x:c r="F26" s="232"/>
      <x:c r="G26" s="232"/>
      <x:c r="H26" s="232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>
      <x:c r="A27" s="232"/>
      <x:c r="B27" s="232"/>
      <x:c r="C27" s="232"/>
      <x:c r="D27" s="232"/>
      <x:c r="E27" s="232"/>
      <x:c r="F27" s="232"/>
      <x:c r="G27" s="232"/>
      <x:c r="H27" s="232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232"/>
      <x:c r="B28" s="232"/>
      <x:c r="C28" s="232"/>
      <x:c r="D28" s="232"/>
      <x:c r="E28" s="232"/>
      <x:c r="F28" s="232"/>
      <x:c r="G28" s="232"/>
      <x:c r="H28" s="232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232"/>
      <x:c r="B29" s="232"/>
      <x:c r="C29" s="232"/>
      <x:c r="D29" s="232"/>
      <x:c r="E29" s="232"/>
      <x:c r="F29" s="232"/>
      <x:c r="G29" s="232"/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232"/>
      <x:c r="B30" s="232"/>
      <x:c r="C30" s="232"/>
      <x:c r="D30" s="232"/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232"/>
      <x:c r="B31" s="232"/>
      <x:c r="C31" s="232"/>
      <x:c r="D31" s="232"/>
      <x:c r="E31" s="232"/>
      <x:c r="F31" s="232"/>
      <x:c r="G31" s="232"/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>
      <x:c r="A33" s="232"/>
      <x:c r="B33" s="232"/>
      <x:c r="C33" s="232"/>
      <x:c r="D33" s="232"/>
      <x:c r="E33" s="232"/>
      <x:c r="F33" s="232"/>
      <x:c r="G33" s="232"/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>
      <x:c r="A34" s="232"/>
      <x:c r="B34" s="232"/>
      <x:c r="C34" s="232"/>
      <x:c r="D34" s="232"/>
      <x:c r="E34" s="232"/>
      <x:c r="F34" s="232"/>
      <x:c r="G34" s="232"/>
      <x:c r="H34" s="232"/>
      <x:c r="I34" s="232"/>
      <x:c r="J34" s="232"/>
      <x:c r="K34" s="232"/>
      <x:c r="L34" s="232"/>
      <x:c r="M34" s="232"/>
      <x:c r="N34" s="232"/>
      <x:c r="O34" s="232"/>
      <x:c r="P34" s="232"/>
      <x:c r="Q34" s="232"/>
    </x:row>
    <x:row r="35">
      <x:c r="A35" s="232"/>
      <x:c r="B35" s="232"/>
      <x:c r="C35" s="232"/>
      <x:c r="D35" s="232"/>
      <x:c r="E35" s="232"/>
      <x:c r="F35" s="232"/>
      <x:c r="G35" s="232"/>
      <x:c r="H35" s="232"/>
      <x:c r="I35" s="232"/>
      <x:c r="J35" s="232"/>
      <x:c r="K35" s="232"/>
      <x:c r="L35" s="232"/>
      <x:c r="M35" s="232"/>
      <x:c r="N35" s="232"/>
      <x:c r="O35" s="232"/>
      <x:c r="P35" s="232"/>
      <x:c r="Q35" s="232"/>
    </x:row>
    <x:row r="36">
      <x:c r="A36" s="232"/>
      <x:c r="B36" s="232"/>
      <x:c r="C36" s="232"/>
      <x:c r="D36" s="232"/>
      <x:c r="E36" s="232"/>
      <x:c r="F36" s="232"/>
      <x:c r="G36" s="232"/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2"/>
      <x:c r="B37" s="232"/>
      <x:c r="C37" s="232"/>
      <x:c r="D37" s="232"/>
      <x:c r="E37" s="232"/>
      <x:c r="F37" s="232"/>
      <x:c r="G37" s="232"/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>
      <x:c r="A38" s="232"/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32"/>
      <x:c r="M38" s="232"/>
      <x:c r="N38" s="232"/>
      <x:c r="O38" s="232"/>
      <x:c r="P38" s="232"/>
      <x:c r="Q38" s="232"/>
    </x:row>
    <x:row r="39">
      <x:c r="A39" s="232"/>
      <x:c r="B39" s="232"/>
      <x:c r="C39" s="232"/>
      <x:c r="D39" s="232"/>
      <x:c r="E39" s="232"/>
      <x:c r="F39" s="232"/>
      <x:c r="G39" s="232"/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N1"/>
    <x:mergeCell ref="A3:N3"/>
    <x:mergeCell ref="A6:N6"/>
    <x:mergeCell ref="A13:N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3" hidden="0" customWidth="1"/>
    <x:col min="15" max="15" width="18" hidden="0" customWidth="1"/>
    <x:col min="16" max="16" width="18" hidden="0" customWidth="1"/>
    <x:col min="17" max="17" width="42" hidden="0" customWidth="1"/>
  </x:cols>
  <x:sheetData>
    <x:row r="1" ht="28" customHeight="1">
      <x:c r="A1" s="416" t="str">
        <x:v>Bobert — Projected Operating Budget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  <x:c r="L1" s="416"/>
      <x:c r="M1" s="416"/>
      <x:c r="N1" s="416"/>
      <x:c r="O1" s="416"/>
      <x:c r="P1" s="416"/>
      <x:c r="Q1" s="416"/>
    </x:row>
    <x:row r="2">
      <x:c r="A2" s="234"/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  <x:c r="L2" s="234"/>
      <x:c r="M2" s="234"/>
      <x:c r="N2" s="234"/>
      <x:c r="O2" s="234"/>
      <x:c r="P2" s="234"/>
      <x:c r="Q2" s="234"/>
    </x:row>
    <x:row r="3">
      <x:c r="A3" s="233" t="str">
        <x:v>Blue monthly amounts are editable projections. Contractor and support lines are formula-driven by revenue and customer-volume triggers.</x:v>
      </x:c>
      <x:c r="B3" s="233"/>
      <x:c r="C3" s="233"/>
      <x:c r="D3" s="233"/>
      <x:c r="E3" s="233"/>
      <x:c r="F3" s="233"/>
      <x:c r="G3" s="233"/>
      <x:c r="H3" s="233"/>
      <x:c r="I3" s="233"/>
      <x:c r="J3" s="233"/>
      <x:c r="K3" s="233"/>
      <x:c r="L3" s="233"/>
      <x:c r="M3" s="233"/>
      <x:c r="N3" s="233"/>
      <x:c r="O3" s="233"/>
      <x:c r="P3" s="233"/>
      <x:c r="Q3" s="233"/>
    </x:row>
    <x:row r="4">
      <x:c r="A4" s="234"/>
      <x:c r="B4" s="234"/>
      <x:c r="C4" s="234"/>
      <x:c r="D4" s="234"/>
      <x:c r="E4" s="234"/>
      <x:c r="F4" s="234"/>
      <x:c r="G4" s="234"/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</x:row>
    <x:row r="5">
      <x:c r="A5" s="197" t="str">
        <x:v>Budget Category</x:v>
      </x:c>
      <x:c r="B5" s="269" t="n">
        <x:v>46235</x:v>
      </x:c>
      <x:c r="C5" s="269" t="n">
        <x:v>46266</x:v>
      </x:c>
      <x:c r="D5" s="269" t="n">
        <x:v>46296</x:v>
      </x:c>
      <x:c r="E5" s="269" t="n">
        <x:v>46327</x:v>
      </x:c>
      <x:c r="F5" s="269" t="n">
        <x:v>46357</x:v>
      </x:c>
      <x:c r="G5" s="269" t="n">
        <x:v>46388</x:v>
      </x:c>
      <x:c r="H5" s="269" t="n">
        <x:v>46419</x:v>
      </x:c>
      <x:c r="I5" s="269" t="n">
        <x:v>46447</x:v>
      </x:c>
      <x:c r="J5" s="269" t="n">
        <x:v>46478</x:v>
      </x:c>
      <x:c r="K5" s="269" t="n">
        <x:v>46508</x:v>
      </x:c>
      <x:c r="L5" s="269" t="n">
        <x:v>46539</x:v>
      </x:c>
      <x:c r="M5" s="269" t="n">
        <x:v>46569</x:v>
      </x:c>
      <x:c r="N5" s="197" t="str">
        <x:v>FY Total</x:v>
      </x:c>
      <x:c r="O5" s="197" t="str">
        <x:v>Status</x:v>
      </x:c>
      <x:c r="P5" s="197" t="str">
        <x:v>Owner</x:v>
      </x:c>
      <x:c r="Q5" s="197" t="str">
        <x:v>Notes</x:v>
      </x:c>
    </x:row>
    <x:row r="6" ht="20" customHeight="1">
      <x:c r="A6" s="196" t="str">
        <x:v>COST OF REVENUE — FIXED / DIRECT SUPPORT</x:v>
      </x:c>
      <x:c r="B6" s="196"/>
      <x:c r="C6" s="196"/>
      <x:c r="D6" s="196"/>
      <x:c r="E6" s="196"/>
      <x:c r="F6" s="196"/>
      <x:c r="G6" s="196"/>
      <x:c r="H6" s="196"/>
      <x:c r="I6" s="196"/>
      <x:c r="J6" s="196"/>
      <x:c r="K6" s="196"/>
      <x:c r="L6" s="196"/>
      <x:c r="M6" s="196"/>
      <x:c r="N6" s="196"/>
      <x:c r="O6" s="196"/>
      <x:c r="P6" s="196"/>
      <x:c r="Q6" s="196"/>
    </x:row>
    <x:row r="7">
      <x:c r="A7" s="234" t="str">
        <x:v>Hosting &amp; Storage</x:v>
      </x:c>
      <x:c r="B7" s="240" t="n">
        <x:v>50</x:v>
      </x:c>
      <x:c r="C7" s="240" t="n">
        <x:v>50</x:v>
      </x:c>
      <x:c r="D7" s="240" t="n">
        <x:v>100</x:v>
      </x:c>
      <x:c r="E7" s="240" t="n">
        <x:v>100</x:v>
      </x:c>
      <x:c r="F7" s="240" t="n">
        <x:v>100</x:v>
      </x:c>
      <x:c r="G7" s="240" t="n">
        <x:v>250</x:v>
      </x:c>
      <x:c r="H7" s="240" t="n">
        <x:v>250</x:v>
      </x:c>
      <x:c r="I7" s="240" t="n">
        <x:v>250</x:v>
      </x:c>
      <x:c r="J7" s="240" t="n">
        <x:v>500</x:v>
      </x:c>
      <x:c r="K7" s="240" t="n">
        <x:v>500</x:v>
      </x:c>
      <x:c r="L7" s="240" t="n">
        <x:v>500</x:v>
      </x:c>
      <x:c r="M7" s="240" t="n">
        <x:v>750</x:v>
      </x:c>
      <x:c r="N7" s="324" t="n">
        <x:f>SUM(B7:M7)</x:f>
        <x:v>3400</x:v>
      </x:c>
      <x:c r="O7" s="234" t="str">
        <x:v>Estimated</x:v>
      </x:c>
      <x:c r="P7" s="234" t="str">
        <x:v>Dev / Finance</x:v>
      </x:c>
      <x:c r="Q7" s="234" t="str">
        <x:v>Scales with usage</x:v>
      </x:c>
    </x:row>
    <x:row r="8">
      <x:c r="A8" s="234" t="str">
        <x:v>Transactional Email &amp; Notifications</x:v>
      </x:c>
      <x:c r="B8" s="240" t="n">
        <x:v>0</x:v>
      </x:c>
      <x:c r="C8" s="240" t="n">
        <x:v>0</x:v>
      </x:c>
      <x:c r="D8" s="240" t="n">
        <x:v>10</x:v>
      </x:c>
      <x:c r="E8" s="240" t="n">
        <x:v>15</x:v>
      </x:c>
      <x:c r="F8" s="240" t="n">
        <x:v>25</x:v>
      </x:c>
      <x:c r="G8" s="240" t="n">
        <x:v>40</x:v>
      </x:c>
      <x:c r="H8" s="240" t="n">
        <x:v>60</x:v>
      </x:c>
      <x:c r="I8" s="240" t="n">
        <x:v>80</x:v>
      </x:c>
      <x:c r="J8" s="240" t="n">
        <x:v>100</x:v>
      </x:c>
      <x:c r="K8" s="240" t="n">
        <x:v>125</x:v>
      </x:c>
      <x:c r="L8" s="240" t="n">
        <x:v>150</x:v>
      </x:c>
      <x:c r="M8" s="240" t="n">
        <x:v>200</x:v>
      </x:c>
      <x:c r="N8" s="324" t="n">
        <x:f>SUM(B8:M8)</x:f>
        <x:v>805</x:v>
      </x:c>
      <x:c r="O8" s="234" t="str">
        <x:v>Estimated</x:v>
      </x:c>
      <x:c r="P8" s="234" t="str">
        <x:v>Dev / Finance</x:v>
      </x:c>
      <x:c r="Q8" s="234" t="str">
        <x:v>Replace with actual vendor invoices</x:v>
      </x:c>
    </x:row>
    <x:row r="9">
      <x:c r="A9" s="234" t="str">
        <x:v>Direct Customer Support</x:v>
      </x:c>
      <x:c r="B9" s="325" t="n">
        <x:f>IF('Revenue Build'!B11&gt;='Assumptions'!$B$43,'Assumptions'!$C$43,IF('Revenue Build'!B11&gt;='Assumptions'!$B$42,'Assumptions'!$C$42,0))</x:f>
        <x:v>0</x:v>
      </x:c>
      <x:c r="C9" s="325" t="n">
        <x:f>IF('Revenue Build'!C11&gt;='Assumptions'!$B$43,'Assumptions'!$C$43,IF('Revenue Build'!C11&gt;='Assumptions'!$B$42,'Assumptions'!$C$42,0))</x:f>
        <x:v>0</x:v>
      </x:c>
      <x:c r="D9" s="325" t="n">
        <x:f>IF('Revenue Build'!D11&gt;='Assumptions'!$B$43,'Assumptions'!$C$43,IF('Revenue Build'!D11&gt;='Assumptions'!$B$42,'Assumptions'!$C$42,0))</x:f>
        <x:v>0</x:v>
      </x:c>
      <x:c r="E9" s="325" t="n">
        <x:f>IF('Revenue Build'!E11&gt;='Assumptions'!$B$43,'Assumptions'!$C$43,IF('Revenue Build'!E11&gt;='Assumptions'!$B$42,'Assumptions'!$C$42,0))</x:f>
        <x:v>0</x:v>
      </x:c>
      <x:c r="F9" s="325" t="n">
        <x:f>IF('Revenue Build'!F11&gt;='Assumptions'!$B$43,'Assumptions'!$C$43,IF('Revenue Build'!F11&gt;='Assumptions'!$B$42,'Assumptions'!$C$42,0))</x:f>
        <x:v>0</x:v>
      </x:c>
      <x:c r="G9" s="325" t="n">
        <x:f>IF('Revenue Build'!G11&gt;='Assumptions'!$B$43,'Assumptions'!$C$43,IF('Revenue Build'!G11&gt;='Assumptions'!$B$42,'Assumptions'!$C$42,0))</x:f>
        <x:v>0</x:v>
      </x:c>
      <x:c r="H9" s="325" t="n">
        <x:f>IF('Revenue Build'!H11&gt;='Assumptions'!$B$43,'Assumptions'!$C$43,IF('Revenue Build'!H11&gt;='Assumptions'!$B$42,'Assumptions'!$C$42,0))</x:f>
        <x:v>0</x:v>
      </x:c>
      <x:c r="I9" s="325" t="n">
        <x:f>IF('Revenue Build'!I11&gt;='Assumptions'!$B$43,'Assumptions'!$C$43,IF('Revenue Build'!I11&gt;='Assumptions'!$B$42,'Assumptions'!$C$42,0))</x:f>
        <x:v>500</x:v>
      </x:c>
      <x:c r="J9" s="325" t="n">
        <x:f>IF('Revenue Build'!J11&gt;='Assumptions'!$B$43,'Assumptions'!$C$43,IF('Revenue Build'!J11&gt;='Assumptions'!$B$42,'Assumptions'!$C$42,0))</x:f>
        <x:v>500</x:v>
      </x:c>
      <x:c r="K9" s="325" t="n">
        <x:f>IF('Revenue Build'!K11&gt;='Assumptions'!$B$43,'Assumptions'!$C$43,IF('Revenue Build'!K11&gt;='Assumptions'!$B$42,'Assumptions'!$C$42,0))</x:f>
        <x:v>500</x:v>
      </x:c>
      <x:c r="L9" s="325" t="n">
        <x:f>IF('Revenue Build'!L11&gt;='Assumptions'!$B$43,'Assumptions'!$C$43,IF('Revenue Build'!L11&gt;='Assumptions'!$B$42,'Assumptions'!$C$42,0))</x:f>
        <x:v>500</x:v>
      </x:c>
      <x:c r="M9" s="325" t="n">
        <x:f>IF('Revenue Build'!M11&gt;='Assumptions'!$B$43,'Assumptions'!$C$43,IF('Revenue Build'!M11&gt;='Assumptions'!$B$42,'Assumptions'!$C$42,0))</x:f>
        <x:v>1500</x:v>
      </x:c>
      <x:c r="N9" s="325" t="n">
        <x:f>SUM(B9:M9)</x:f>
        <x:v>3500</x:v>
      </x:c>
      <x:c r="O9" s="234" t="str">
        <x:v>Formula-driven</x:v>
      </x:c>
      <x:c r="P9" s="234" t="str">
        <x:v>Finance / Operations</x:v>
      </x:c>
      <x:c r="Q9" s="234" t="str">
        <x:v>Starts when paid accounts reach support trigger</x:v>
      </x:c>
    </x:row>
    <x:row r="10">
      <x:c r="A10" s="326" t="str">
        <x:v>Total Fixed / Direct COGS Budget</x:v>
      </x:c>
      <x:c r="B10" s="327" t="n">
        <x:f>SUM(B7:B9)</x:f>
        <x:v>50</x:v>
      </x:c>
      <x:c r="C10" s="327" t="n">
        <x:f>SUM(C7:C9)</x:f>
        <x:v>50</x:v>
      </x:c>
      <x:c r="D10" s="327" t="n">
        <x:f>SUM(D7:D9)</x:f>
        <x:v>110</x:v>
      </x:c>
      <x:c r="E10" s="327" t="n">
        <x:f>SUM(E7:E9)</x:f>
        <x:v>115</x:v>
      </x:c>
      <x:c r="F10" s="327" t="n">
        <x:f>SUM(F7:F9)</x:f>
        <x:v>125</x:v>
      </x:c>
      <x:c r="G10" s="327" t="n">
        <x:f>SUM(G7:G9)</x:f>
        <x:v>290</x:v>
      </x:c>
      <x:c r="H10" s="327" t="n">
        <x:f>SUM(H7:H9)</x:f>
        <x:v>310</x:v>
      </x:c>
      <x:c r="I10" s="327" t="n">
        <x:f>SUM(I7:I9)</x:f>
        <x:v>830</x:v>
      </x:c>
      <x:c r="J10" s="327" t="n">
        <x:f>SUM(J7:J9)</x:f>
        <x:v>1100</x:v>
      </x:c>
      <x:c r="K10" s="327" t="n">
        <x:f>SUM(K7:K9)</x:f>
        <x:v>1125</x:v>
      </x:c>
      <x:c r="L10" s="327" t="n">
        <x:f>SUM(L7:L9)</x:f>
        <x:v>1150</x:v>
      </x:c>
      <x:c r="M10" s="327" t="n">
        <x:f>SUM(M7:M9)</x:f>
        <x:v>2450</x:v>
      </x:c>
      <x:c r="N10" s="327" t="n">
        <x:f>SUM(B10:M10)</x:f>
        <x:v>7705</x:v>
      </x:c>
      <x:c r="O10" s="234"/>
      <x:c r="P10" s="234"/>
      <x:c r="Q10" s="234"/>
    </x:row>
    <x:row r="11">
      <x:c r="A11" s="234"/>
      <x:c r="B11" s="324"/>
      <x:c r="C11" s="324"/>
      <x:c r="D11" s="324"/>
      <x:c r="E11" s="324"/>
      <x:c r="F11" s="324"/>
      <x:c r="G11" s="324"/>
      <x:c r="H11" s="324"/>
      <x:c r="I11" s="324"/>
      <x:c r="J11" s="324"/>
      <x:c r="K11" s="324"/>
      <x:c r="L11" s="324"/>
      <x:c r="M11" s="324"/>
      <x:c r="N11" s="324"/>
      <x:c r="O11" s="234"/>
      <x:c r="P11" s="234"/>
      <x:c r="Q11" s="234"/>
    </x:row>
    <x:row r="12" ht="20" customHeight="1">
      <x:c r="A12" s="196" t="str">
        <x:v>OPERATING EXPENSES</x:v>
      </x:c>
      <x:c r="B12" s="318"/>
      <x:c r="C12" s="318"/>
      <x:c r="D12" s="318"/>
      <x:c r="E12" s="318"/>
      <x:c r="F12" s="318"/>
      <x:c r="G12" s="318"/>
      <x:c r="H12" s="318"/>
      <x:c r="I12" s="318"/>
      <x:c r="J12" s="318"/>
      <x:c r="K12" s="318"/>
      <x:c r="L12" s="318"/>
      <x:c r="M12" s="318"/>
      <x:c r="N12" s="318"/>
      <x:c r="O12" s="196"/>
      <x:c r="P12" s="196"/>
      <x:c r="Q12" s="196"/>
    </x:row>
    <x:row r="13">
      <x:c r="A13" s="234" t="str">
        <x:v>Product &amp; Engineering Software</x:v>
      </x:c>
      <x:c r="B13" s="240" t="n">
        <x:v>200</x:v>
      </x:c>
      <x:c r="C13" s="240" t="n">
        <x:v>250</x:v>
      </x:c>
      <x:c r="D13" s="240" t="n">
        <x:v>300</x:v>
      </x:c>
      <x:c r="E13" s="240" t="n">
        <x:v>350</x:v>
      </x:c>
      <x:c r="F13" s="240" t="n">
        <x:v>400</x:v>
      </x:c>
      <x:c r="G13" s="240" t="n">
        <x:v>450</x:v>
      </x:c>
      <x:c r="H13" s="240" t="n">
        <x:v>500</x:v>
      </x:c>
      <x:c r="I13" s="240" t="n">
        <x:v>550</x:v>
      </x:c>
      <x:c r="J13" s="240" t="n">
        <x:v>600</x:v>
      </x:c>
      <x:c r="K13" s="240" t="n">
        <x:v>650</x:v>
      </x:c>
      <x:c r="L13" s="240" t="n">
        <x:v>700</x:v>
      </x:c>
      <x:c r="M13" s="240" t="n">
        <x:v>800</x:v>
      </x:c>
      <x:c r="N13" s="324" t="n">
        <x:f>SUM(B13:M13)</x:f>
        <x:v>5750</x:v>
      </x:c>
      <x:c r="O13" s="234" t="str">
        <x:v>Estimated</x:v>
      </x:c>
      <x:c r="P13" s="234" t="str">
        <x:v>Founder / Dev</x:v>
      </x:c>
      <x:c r="Q13" s="234" t="str">
        <x:v>AI development tools and product software</x:v>
      </x:c>
    </x:row>
    <x:row r="14">
      <x:c r="A14" s="234" t="str">
        <x:v>Human Developer / Contractor</x:v>
      </x:c>
      <x:c r="B14" s="325" t="n">
        <x:f>IF('Revenue Build'!B19&gt;='Assumptions'!$B$41,'Assumptions'!$C$41,IF('Revenue Build'!B19&gt;='Assumptions'!$B$40,'Assumptions'!$C$40,0))</x:f>
        <x:v>0</x:v>
      </x:c>
      <x:c r="C14" s="325" t="n">
        <x:f>IF('Revenue Build'!C19&gt;='Assumptions'!$B$41,'Assumptions'!$C$41,IF('Revenue Build'!C19&gt;='Assumptions'!$B$40,'Assumptions'!$C$40,0))</x:f>
        <x:v>0</x:v>
      </x:c>
      <x:c r="D14" s="325" t="n">
        <x:f>IF('Revenue Build'!D19&gt;='Assumptions'!$B$41,'Assumptions'!$C$41,IF('Revenue Build'!D19&gt;='Assumptions'!$B$40,'Assumptions'!$C$40,0))</x:f>
        <x:v>0</x:v>
      </x:c>
      <x:c r="E14" s="325" t="n">
        <x:f>IF('Revenue Build'!E19&gt;='Assumptions'!$B$41,'Assumptions'!$C$41,IF('Revenue Build'!E19&gt;='Assumptions'!$B$40,'Assumptions'!$C$40,0))</x:f>
        <x:v>0</x:v>
      </x:c>
      <x:c r="F14" s="325" t="n">
        <x:f>IF('Revenue Build'!F19&gt;='Assumptions'!$B$41,'Assumptions'!$C$41,IF('Revenue Build'!F19&gt;='Assumptions'!$B$40,'Assumptions'!$C$40,0))</x:f>
        <x:v>0</x:v>
      </x:c>
      <x:c r="G14" s="325" t="n">
        <x:f>IF('Revenue Build'!G19&gt;='Assumptions'!$B$41,'Assumptions'!$C$41,IF('Revenue Build'!G19&gt;='Assumptions'!$B$40,'Assumptions'!$C$40,0))</x:f>
        <x:v>0</x:v>
      </x:c>
      <x:c r="H14" s="325" t="n">
        <x:f>IF('Revenue Build'!H19&gt;='Assumptions'!$B$41,'Assumptions'!$C$41,IF('Revenue Build'!H19&gt;='Assumptions'!$B$40,'Assumptions'!$C$40,0))</x:f>
        <x:v>0</x:v>
      </x:c>
      <x:c r="I14" s="325" t="n">
        <x:f>IF('Revenue Build'!I19&gt;='Assumptions'!$B$41,'Assumptions'!$C$41,IF('Revenue Build'!I19&gt;='Assumptions'!$B$40,'Assumptions'!$C$40,0))</x:f>
        <x:v>0</x:v>
      </x:c>
      <x:c r="J14" s="325" t="n">
        <x:f>IF('Revenue Build'!J19&gt;='Assumptions'!$B$41,'Assumptions'!$C$41,IF('Revenue Build'!J19&gt;='Assumptions'!$B$40,'Assumptions'!$C$40,0))</x:f>
        <x:v>1500</x:v>
      </x:c>
      <x:c r="K14" s="325" t="n">
        <x:f>IF('Revenue Build'!K19&gt;='Assumptions'!$B$41,'Assumptions'!$C$41,IF('Revenue Build'!K19&gt;='Assumptions'!$B$40,'Assumptions'!$C$40,0))</x:f>
        <x:v>1500</x:v>
      </x:c>
      <x:c r="L14" s="325" t="n">
        <x:f>IF('Revenue Build'!L19&gt;='Assumptions'!$B$41,'Assumptions'!$C$41,IF('Revenue Build'!L19&gt;='Assumptions'!$B$40,'Assumptions'!$C$40,0))</x:f>
        <x:v>1500</x:v>
      </x:c>
      <x:c r="M14" s="325" t="n">
        <x:f>IF('Revenue Build'!M19&gt;='Assumptions'!$B$41,'Assumptions'!$C$41,IF('Revenue Build'!M19&gt;='Assumptions'!$B$40,'Assumptions'!$C$40,0))</x:f>
        <x:v>3000</x:v>
      </x:c>
      <x:c r="N14" s="325" t="n">
        <x:f>SUM(B14:M14)</x:f>
        <x:v>7500</x:v>
      </x:c>
      <x:c r="O14" s="234" t="str">
        <x:v>Formula-driven</x:v>
      </x:c>
      <x:c r="P14" s="234" t="str">
        <x:v>Founder / Dev</x:v>
      </x:c>
      <x:c r="Q14" s="234" t="str">
        <x:v>No standing human developer; trigger-based reserve only</x:v>
      </x:c>
    </x:row>
    <x:row r="15">
      <x:c r="A15" s="234" t="str">
        <x:v>Marketing</x:v>
      </x:c>
      <x:c r="B15" s="240" t="n">
        <x:v>100</x:v>
      </x:c>
      <x:c r="C15" s="240" t="n">
        <x:v>150</x:v>
      </x:c>
      <x:c r="D15" s="240" t="n">
        <x:v>500</x:v>
      </x:c>
      <x:c r="E15" s="240" t="n">
        <x:v>600</x:v>
      </x:c>
      <x:c r="F15" s="240" t="n">
        <x:v>750</x:v>
      </x:c>
      <x:c r="G15" s="240" t="n">
        <x:v>750</x:v>
      </x:c>
      <x:c r="H15" s="240" t="n">
        <x:v>1000</x:v>
      </x:c>
      <x:c r="I15" s="240" t="n">
        <x:v>1200</x:v>
      </x:c>
      <x:c r="J15" s="240" t="n">
        <x:v>1500</x:v>
      </x:c>
      <x:c r="K15" s="240" t="n">
        <x:v>2000</x:v>
      </x:c>
      <x:c r="L15" s="240" t="n">
        <x:v>2500</x:v>
      </x:c>
      <x:c r="M15" s="240" t="n">
        <x:v>3000</x:v>
      </x:c>
      <x:c r="N15" s="324" t="n">
        <x:f>SUM(B15:M15)</x:f>
        <x:v>14050</x:v>
      </x:c>
      <x:c r="O15" s="234" t="str">
        <x:v>Estimated</x:v>
      </x:c>
      <x:c r="P15" s="234" t="str">
        <x:v>Marketing</x:v>
      </x:c>
      <x:c r="Q15" s="234" t="str">
        <x:v>Launch assets, content, testing; no large paid campaign assumed</x:v>
      </x:c>
    </x:row>
    <x:row r="16">
      <x:c r="A16" s="234" t="str">
        <x:v>Sales &amp; Business Development</x:v>
      </x:c>
      <x:c r="B16" s="240" t="n">
        <x:v>0</x:v>
      </x:c>
      <x:c r="C16" s="240" t="n">
        <x:v>0</x:v>
      </x:c>
      <x:c r="D16" s="240" t="n">
        <x:v>100</x:v>
      </x:c>
      <x:c r="E16" s="240" t="n">
        <x:v>250</x:v>
      </x:c>
      <x:c r="F16" s="240" t="n">
        <x:v>250</x:v>
      </x:c>
      <x:c r="G16" s="240" t="n">
        <x:v>500</x:v>
      </x:c>
      <x:c r="H16" s="240" t="n">
        <x:v>500</x:v>
      </x:c>
      <x:c r="I16" s="240" t="n">
        <x:v>750</x:v>
      </x:c>
      <x:c r="J16" s="240" t="n">
        <x:v>750</x:v>
      </x:c>
      <x:c r="K16" s="240" t="n">
        <x:v>1000</x:v>
      </x:c>
      <x:c r="L16" s="240" t="n">
        <x:v>1500</x:v>
      </x:c>
      <x:c r="M16" s="240" t="n">
        <x:v>2000</x:v>
      </x:c>
      <x:c r="N16" s="324" t="n">
        <x:f>SUM(B16:M16)</x:f>
        <x:v>7600</x:v>
      </x:c>
      <x:c r="O16" s="234" t="str">
        <x:v>Estimated</x:v>
      </x:c>
      <x:c r="P16" s="234" t="str">
        <x:v>BD</x:v>
      </x:c>
      <x:c r="Q16" s="234" t="str">
        <x:v>Outbound, prospecting, CRM, sales enablement</x:v>
      </x:c>
    </x:row>
    <x:row r="17">
      <x:c r="A17" s="234" t="str">
        <x:v>Accounting &amp; Bookkeeping</x:v>
      </x:c>
      <x:c r="B17" s="240" t="n">
        <x:v>0</x:v>
      </x:c>
      <x:c r="C17" s="240" t="n">
        <x:v>0</x:v>
      </x:c>
      <x:c r="D17" s="240" t="n">
        <x:v>100</x:v>
      </x:c>
      <x:c r="E17" s="240" t="n">
        <x:v>100</x:v>
      </x:c>
      <x:c r="F17" s="240" t="n">
        <x:v>150</x:v>
      </x:c>
      <x:c r="G17" s="240" t="n">
        <x:v>150</x:v>
      </x:c>
      <x:c r="H17" s="240" t="n">
        <x:v>200</x:v>
      </x:c>
      <x:c r="I17" s="240" t="n">
        <x:v>200</x:v>
      </x:c>
      <x:c r="J17" s="240" t="n">
        <x:v>250</x:v>
      </x:c>
      <x:c r="K17" s="240" t="n">
        <x:v>300</x:v>
      </x:c>
      <x:c r="L17" s="240" t="n">
        <x:v>300</x:v>
      </x:c>
      <x:c r="M17" s="240" t="n">
        <x:v>400</x:v>
      </x:c>
      <x:c r="N17" s="324" t="n">
        <x:f>SUM(B17:M17)</x:f>
        <x:v>2150</x:v>
      </x:c>
      <x:c r="O17" s="234" t="str">
        <x:v>Estimated</x:v>
      </x:c>
      <x:c r="P17" s="234" t="str">
        <x:v>Finance</x:v>
      </x:c>
      <x:c r="Q17" s="234" t="str">
        <x:v>Begins with commercial activity</x:v>
      </x:c>
    </x:row>
    <x:row r="18">
      <x:c r="A18" s="234" t="str">
        <x:v>Legal &amp; Compliance</x:v>
      </x:c>
      <x:c r="B18" s="240" t="n">
        <x:v>750</x:v>
      </x:c>
      <x:c r="C18" s="240" t="n">
        <x:v>1000</x:v>
      </x:c>
      <x:c r="D18" s="240" t="n">
        <x:v>0</x:v>
      </x:c>
      <x:c r="E18" s="240" t="n">
        <x:v>0</x:v>
      </x:c>
      <x:c r="F18" s="240" t="n">
        <x:v>0</x:v>
      </x:c>
      <x:c r="G18" s="240" t="n">
        <x:v>0</x:v>
      </x:c>
      <x:c r="H18" s="240" t="n">
        <x:v>0</x:v>
      </x:c>
      <x:c r="I18" s="240" t="n">
        <x:v>0</x:v>
      </x:c>
      <x:c r="J18" s="240" t="n">
        <x:v>0</x:v>
      </x:c>
      <x:c r="K18" s="240" t="n">
        <x:v>0</x:v>
      </x:c>
      <x:c r="L18" s="240" t="n">
        <x:v>0</x:v>
      </x:c>
      <x:c r="M18" s="240" t="n">
        <x:v>0</x:v>
      </x:c>
      <x:c r="N18" s="324" t="n">
        <x:f>SUM(B18:M18)</x:f>
        <x:v>1750</x:v>
      </x:c>
      <x:c r="O18" s="234" t="str">
        <x:v>Estimated</x:v>
      </x:c>
      <x:c r="P18" s="234" t="str">
        <x:v>Founder / Finance</x:v>
      </x:c>
      <x:c r="Q18" s="234" t="str">
        <x:v>Trademark, LLC, privacy and terms review</x:v>
      </x:c>
    </x:row>
    <x:row r="19">
      <x:c r="A19" s="234" t="str">
        <x:v>Insurance</x:v>
      </x:c>
      <x:c r="B19" s="240" t="n">
        <x:v>0</x:v>
      </x:c>
      <x:c r="C19" s="240" t="n">
        <x:v>0</x:v>
      </x:c>
      <x:c r="D19" s="240" t="n">
        <x:v>1200</x:v>
      </x:c>
      <x:c r="E19" s="240" t="n">
        <x:v>0</x:v>
      </x:c>
      <x:c r="F19" s="240" t="n">
        <x:v>0</x:v>
      </x:c>
      <x:c r="G19" s="240" t="n">
        <x:v>0</x:v>
      </x:c>
      <x:c r="H19" s="240" t="n">
        <x:v>0</x:v>
      </x:c>
      <x:c r="I19" s="240" t="n">
        <x:v>0</x:v>
      </x:c>
      <x:c r="J19" s="240" t="n">
        <x:v>0</x:v>
      </x:c>
      <x:c r="K19" s="240" t="n">
        <x:v>0</x:v>
      </x:c>
      <x:c r="L19" s="240" t="n">
        <x:v>0</x:v>
      </x:c>
      <x:c r="M19" s="240" t="n">
        <x:v>0</x:v>
      </x:c>
      <x:c r="N19" s="324" t="n">
        <x:f>SUM(B19:M19)</x:f>
        <x:v>1200</x:v>
      </x:c>
      <x:c r="O19" s="234" t="str">
        <x:v>Estimated</x:v>
      </x:c>
      <x:c r="P19" s="234" t="str">
        <x:v>Founder / Finance</x:v>
      </x:c>
      <x:c r="Q19" s="234" t="str">
        <x:v>Placeholder for cyber / E&amp;O / general coverage</x:v>
      </x:c>
    </x:row>
    <x:row r="20">
      <x:c r="A20" s="234" t="str">
        <x:v>Domain, Apple &amp; Licenses</x:v>
      </x:c>
      <x:c r="B20" s="240" t="n">
        <x:v>189</x:v>
      </x:c>
      <x:c r="C20" s="240" t="n">
        <x:v>0</x:v>
      </x:c>
      <x:c r="D20" s="240" t="n">
        <x:v>0</x:v>
      </x:c>
      <x:c r="E20" s="240" t="n">
        <x:v>0</x:v>
      </x:c>
      <x:c r="F20" s="240" t="n">
        <x:v>0</x:v>
      </x:c>
      <x:c r="G20" s="240" t="n">
        <x:v>0</x:v>
      </x:c>
      <x:c r="H20" s="240" t="n">
        <x:v>0</x:v>
      </x:c>
      <x:c r="I20" s="240" t="n">
        <x:v>0</x:v>
      </x:c>
      <x:c r="J20" s="240" t="n">
        <x:v>0</x:v>
      </x:c>
      <x:c r="K20" s="240" t="n">
        <x:v>0</x:v>
      </x:c>
      <x:c r="L20" s="240" t="n">
        <x:v>0</x:v>
      </x:c>
      <x:c r="M20" s="240" t="n">
        <x:v>0</x:v>
      </x:c>
      <x:c r="N20" s="324" t="n">
        <x:f>SUM(B20:M20)</x:f>
        <x:v>189</x:v>
      </x:c>
      <x:c r="O20" s="234" t="str">
        <x:v>Quoted / estimated</x:v>
      </x:c>
      <x:c r="P20" s="234" t="str">
        <x:v>Founder</x:v>
      </x:c>
      <x:c r="Q20" s="234" t="str">
        <x:v>Domain ~$89.98, Apple $99; excludes renewals after year 1</x:v>
      </x:c>
    </x:row>
    <x:row r="21">
      <x:c r="A21" s="234" t="str">
        <x:v>General Admin Software</x:v>
      </x:c>
      <x:c r="B21" s="240" t="n">
        <x:v>50</x:v>
      </x:c>
      <x:c r="C21" s="240" t="n">
        <x:v>75</x:v>
      </x:c>
      <x:c r="D21" s="240" t="n">
        <x:v>100</x:v>
      </x:c>
      <x:c r="E21" s="240" t="n">
        <x:v>125</x:v>
      </x:c>
      <x:c r="F21" s="240" t="n">
        <x:v>150</x:v>
      </x:c>
      <x:c r="G21" s="240" t="n">
        <x:v>175</x:v>
      </x:c>
      <x:c r="H21" s="240" t="n">
        <x:v>200</x:v>
      </x:c>
      <x:c r="I21" s="240" t="n">
        <x:v>225</x:v>
      </x:c>
      <x:c r="J21" s="240" t="n">
        <x:v>250</x:v>
      </x:c>
      <x:c r="K21" s="240" t="n">
        <x:v>275</x:v>
      </x:c>
      <x:c r="L21" s="240" t="n">
        <x:v>300</x:v>
      </x:c>
      <x:c r="M21" s="240" t="n">
        <x:v>350</x:v>
      </x:c>
      <x:c r="N21" s="324" t="n">
        <x:f>SUM(B21:M21)</x:f>
        <x:v>2275</x:v>
      </x:c>
      <x:c r="O21" s="234" t="str">
        <x:v>Estimated</x:v>
      </x:c>
      <x:c r="P21" s="234" t="str">
        <x:v>Operations</x:v>
      </x:c>
      <x:c r="Q21" s="234" t="str">
        <x:v>Workspace, banking, accounting, monitoring, misc.</x:v>
      </x:c>
    </x:row>
    <x:row r="22">
      <x:c r="A22" s="234" t="str">
        <x:v>Travel &amp; Events</x:v>
      </x:c>
      <x:c r="B22" s="239" t="n">
        <x:v>0</x:v>
      </x:c>
      <x:c r="C22" s="239" t="n">
        <x:v>0</x:v>
      </x:c>
      <x:c r="D22" s="239" t="n">
        <x:v>0</x:v>
      </x:c>
      <x:c r="E22" s="239" t="n">
        <x:v>0</x:v>
      </x:c>
      <x:c r="F22" s="239" t="n">
        <x:v>0</x:v>
      </x:c>
      <x:c r="G22" s="239" t="n">
        <x:v>0</x:v>
      </x:c>
      <x:c r="H22" s="239" t="n">
        <x:v>0</x:v>
      </x:c>
      <x:c r="I22" s="239" t="n">
        <x:v>0</x:v>
      </x:c>
      <x:c r="J22" s="239" t="n">
        <x:v>0</x:v>
      </x:c>
      <x:c r="K22" s="239" t="n">
        <x:v>0</x:v>
      </x:c>
      <x:c r="L22" s="239" t="n">
        <x:v>2500</x:v>
      </x:c>
      <x:c r="M22" s="239" t="n">
        <x:v>0</x:v>
      </x:c>
      <x:c r="N22" s="324" t="n">
        <x:f>SUM(B22:M22)</x:f>
        <x:v>2500</x:v>
      </x:c>
      <x:c r="O22" s="234" t="str">
        <x:v>Conditional</x:v>
      </x:c>
      <x:c r="P22" s="234" t="str">
        <x:v>Founder / BD</x:v>
      </x:c>
      <x:c r="Q22" s="234" t="str">
        <x:v>June trade-show reserve; spend only with approval</x:v>
      </x:c>
    </x:row>
    <x:row r="23">
      <x:c r="A23" s="234" t="str">
        <x:v>Contingency</x:v>
      </x:c>
      <x:c r="B23" s="240" t="n">
        <x:v>250</x:v>
      </x:c>
      <x:c r="C23" s="240" t="n">
        <x:v>250</x:v>
      </x:c>
      <x:c r="D23" s="240" t="n">
        <x:v>250</x:v>
      </x:c>
      <x:c r="E23" s="240" t="n">
        <x:v>250</x:v>
      </x:c>
      <x:c r="F23" s="240" t="n">
        <x:v>250</x:v>
      </x:c>
      <x:c r="G23" s="240" t="n">
        <x:v>250</x:v>
      </x:c>
      <x:c r="H23" s="240" t="n">
        <x:v>250</x:v>
      </x:c>
      <x:c r="I23" s="240" t="n">
        <x:v>250</x:v>
      </x:c>
      <x:c r="J23" s="240" t="n">
        <x:v>250</x:v>
      </x:c>
      <x:c r="K23" s="240" t="n">
        <x:v>250</x:v>
      </x:c>
      <x:c r="L23" s="240" t="n">
        <x:v>250</x:v>
      </x:c>
      <x:c r="M23" s="240" t="n">
        <x:v>250</x:v>
      </x:c>
      <x:c r="N23" s="324" t="n">
        <x:f>SUM(B23:M23)</x:f>
        <x:v>3000</x:v>
      </x:c>
      <x:c r="O23" s="234" t="str">
        <x:v>Estimated</x:v>
      </x:c>
      <x:c r="P23" s="234" t="str">
        <x:v>Finance</x:v>
      </x:c>
      <x:c r="Q23" s="234" t="str">
        <x:v>Small monthly cushion for unknown items</x:v>
      </x:c>
    </x:row>
    <x:row r="24">
      <x:c r="A24" s="234" t="str">
        <x:v>Founder Compensation</x:v>
      </x:c>
      <x:c r="B24" s="240" t="n">
        <x:v>0</x:v>
      </x:c>
      <x:c r="C24" s="240" t="n">
        <x:v>0</x:v>
      </x:c>
      <x:c r="D24" s="240" t="n">
        <x:v>0</x:v>
      </x:c>
      <x:c r="E24" s="240" t="n">
        <x:v>0</x:v>
      </x:c>
      <x:c r="F24" s="240" t="n">
        <x:v>0</x:v>
      </x:c>
      <x:c r="G24" s="240" t="n">
        <x:v>0</x:v>
      </x:c>
      <x:c r="H24" s="240" t="n">
        <x:v>0</x:v>
      </x:c>
      <x:c r="I24" s="240" t="n">
        <x:v>0</x:v>
      </x:c>
      <x:c r="J24" s="240" t="n">
        <x:v>0</x:v>
      </x:c>
      <x:c r="K24" s="240" t="n">
        <x:v>0</x:v>
      </x:c>
      <x:c r="L24" s="240" t="n">
        <x:v>0</x:v>
      </x:c>
      <x:c r="M24" s="240" t="n">
        <x:v>0</x:v>
      </x:c>
      <x:c r="N24" s="324" t="n">
        <x:f>SUM(B24:M24)</x:f>
        <x:v>0</x:v>
      </x:c>
      <x:c r="O24" s="234" t="str">
        <x:v>Projected</x:v>
      </x:c>
      <x:c r="P24" s="234" t="str">
        <x:v>Founder</x:v>
      </x:c>
      <x:c r="Q24" s="234" t="str">
        <x:v>No salary during validation base case</x:v>
      </x:c>
    </x:row>
    <x:row r="25">
      <x:c r="A25" s="326" t="str">
        <x:v>Total Operating Expenses</x:v>
      </x:c>
      <x:c r="B25" s="327" t="n">
        <x:f>SUM(B13:B24)</x:f>
        <x:v>1539</x:v>
      </x:c>
      <x:c r="C25" s="327" t="n">
        <x:f>SUM(C13:C24)</x:f>
        <x:v>1725</x:v>
      </x:c>
      <x:c r="D25" s="327" t="n">
        <x:f>SUM(D13:D24)</x:f>
        <x:v>2550</x:v>
      </x:c>
      <x:c r="E25" s="327" t="n">
        <x:f>SUM(E13:E24)</x:f>
        <x:v>1675</x:v>
      </x:c>
      <x:c r="F25" s="327" t="n">
        <x:f>SUM(F13:F24)</x:f>
        <x:v>1950</x:v>
      </x:c>
      <x:c r="G25" s="327" t="n">
        <x:f>SUM(G13:G24)</x:f>
        <x:v>2275</x:v>
      </x:c>
      <x:c r="H25" s="327" t="n">
        <x:f>SUM(H13:H24)</x:f>
        <x:v>2650</x:v>
      </x:c>
      <x:c r="I25" s="327" t="n">
        <x:f>SUM(I13:I24)</x:f>
        <x:v>3175</x:v>
      </x:c>
      <x:c r="J25" s="327" t="n">
        <x:f>SUM(J13:J24)</x:f>
        <x:v>5100</x:v>
      </x:c>
      <x:c r="K25" s="327" t="n">
        <x:f>SUM(K13:K24)</x:f>
        <x:v>5975</x:v>
      </x:c>
      <x:c r="L25" s="327" t="n">
        <x:f>SUM(L13:L24)</x:f>
        <x:v>9550</x:v>
      </x:c>
      <x:c r="M25" s="327" t="n">
        <x:f>SUM(M13:M24)</x:f>
        <x:v>9800</x:v>
      </x:c>
      <x:c r="N25" s="327" t="n">
        <x:f>SUM(B25:M25)</x:f>
        <x:v>47964</x:v>
      </x:c>
      <x:c r="O25" s="234"/>
      <x:c r="P25" s="234"/>
      <x:c r="Q25" s="234"/>
    </x:row>
    <x:row r="26">
      <x:c r="A26" s="232"/>
      <x:c r="B26" s="232"/>
      <x:c r="C26" s="232"/>
      <x:c r="D26" s="232"/>
      <x:c r="E26" s="232"/>
      <x:c r="F26" s="232"/>
      <x:c r="G26" s="232"/>
      <x:c r="H26" s="232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>
      <x:c r="A27" s="232"/>
      <x:c r="B27" s="232"/>
      <x:c r="C27" s="232"/>
      <x:c r="D27" s="232"/>
      <x:c r="E27" s="232"/>
      <x:c r="F27" s="232"/>
      <x:c r="G27" s="232"/>
      <x:c r="H27" s="232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232"/>
      <x:c r="B28" s="232"/>
      <x:c r="C28" s="232"/>
      <x:c r="D28" s="232"/>
      <x:c r="E28" s="232"/>
      <x:c r="F28" s="232"/>
      <x:c r="G28" s="232"/>
      <x:c r="H28" s="232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232"/>
      <x:c r="B29" s="232"/>
      <x:c r="C29" s="232"/>
      <x:c r="D29" s="232"/>
      <x:c r="E29" s="232"/>
      <x:c r="F29" s="232"/>
      <x:c r="G29" s="232"/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232"/>
      <x:c r="B30" s="232"/>
      <x:c r="C30" s="232"/>
      <x:c r="D30" s="232"/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232"/>
      <x:c r="B31" s="232"/>
      <x:c r="C31" s="232"/>
      <x:c r="D31" s="232"/>
      <x:c r="E31" s="232"/>
      <x:c r="F31" s="232"/>
      <x:c r="G31" s="232"/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>
      <x:c r="A33" s="232"/>
      <x:c r="B33" s="232"/>
      <x:c r="C33" s="232"/>
      <x:c r="D33" s="232"/>
      <x:c r="E33" s="232"/>
      <x:c r="F33" s="232"/>
      <x:c r="G33" s="232"/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>
      <x:c r="A34" s="232"/>
      <x:c r="B34" s="232"/>
      <x:c r="C34" s="232"/>
      <x:c r="D34" s="232"/>
      <x:c r="E34" s="232"/>
      <x:c r="F34" s="232"/>
      <x:c r="G34" s="232"/>
      <x:c r="H34" s="232"/>
      <x:c r="I34" s="232"/>
      <x:c r="J34" s="232"/>
      <x:c r="K34" s="232"/>
      <x:c r="L34" s="232"/>
      <x:c r="M34" s="232"/>
      <x:c r="N34" s="232"/>
      <x:c r="O34" s="232"/>
      <x:c r="P34" s="232"/>
      <x:c r="Q34" s="232"/>
    </x:row>
    <x:row r="35">
      <x:c r="A35" s="232"/>
      <x:c r="B35" s="232"/>
      <x:c r="C35" s="232"/>
      <x:c r="D35" s="232"/>
      <x:c r="E35" s="232"/>
      <x:c r="F35" s="232"/>
      <x:c r="G35" s="232"/>
      <x:c r="H35" s="232"/>
      <x:c r="I35" s="232"/>
      <x:c r="J35" s="232"/>
      <x:c r="K35" s="232"/>
      <x:c r="L35" s="232"/>
      <x:c r="M35" s="232"/>
      <x:c r="N35" s="232"/>
      <x:c r="O35" s="232"/>
      <x:c r="P35" s="232"/>
      <x:c r="Q35" s="232"/>
    </x:row>
    <x:row r="36">
      <x:c r="A36" s="232"/>
      <x:c r="B36" s="232"/>
      <x:c r="C36" s="232"/>
      <x:c r="D36" s="232"/>
      <x:c r="E36" s="232"/>
      <x:c r="F36" s="232"/>
      <x:c r="G36" s="232"/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2"/>
      <x:c r="B37" s="232"/>
      <x:c r="C37" s="232"/>
      <x:c r="D37" s="232"/>
      <x:c r="E37" s="232"/>
      <x:c r="F37" s="232"/>
      <x:c r="G37" s="232"/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>
      <x:c r="A38" s="232"/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32"/>
      <x:c r="M38" s="232"/>
      <x:c r="N38" s="232"/>
      <x:c r="O38" s="232"/>
      <x:c r="P38" s="232"/>
      <x:c r="Q38" s="232"/>
    </x:row>
    <x:row r="39">
      <x:c r="A39" s="232"/>
      <x:c r="B39" s="232"/>
      <x:c r="C39" s="232"/>
      <x:c r="D39" s="232"/>
      <x:c r="E39" s="232"/>
      <x:c r="F39" s="232"/>
      <x:c r="G39" s="232"/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Q1"/>
    <x:mergeCell ref="A3:Q3"/>
    <x:mergeCell ref="A6:Q6"/>
    <x:mergeCell ref="A12:Q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8" t="str">
        <x:v>Bobert — Projected Profit &amp; Loss Statement</x:v>
      </x:c>
      <x:c r="B1" s="418"/>
      <x:c r="C1" s="418"/>
      <x:c r="D1" s="418"/>
      <x:c r="E1" s="418"/>
      <x:c r="F1" s="418"/>
      <x:c r="G1" s="418"/>
      <x:c r="H1" s="418"/>
      <x:c r="I1" s="418"/>
      <x:c r="J1" s="418"/>
      <x:c r="K1" s="418"/>
      <x:c r="L1" s="418"/>
      <x:c r="M1" s="418"/>
      <x:c r="N1" s="418"/>
      <x:c r="O1" s="232"/>
      <x:c r="P1" s="232"/>
      <x:c r="Q1" s="232"/>
    </x:row>
    <x:row r="2">
      <x:c r="A2" s="288" t="str">
        <x:v>Forecast period: August 2026 through July 2027 | Units: USD | Status: Projected, not approved budget</x:v>
      </x:c>
      <x:c r="B2" s="288"/>
      <x:c r="C2" s="288"/>
      <x:c r="D2" s="288"/>
      <x:c r="E2" s="288"/>
      <x:c r="F2" s="288"/>
      <x:c r="G2" s="288"/>
      <x:c r="H2" s="288"/>
      <x:c r="I2" s="288"/>
      <x:c r="J2" s="288"/>
      <x:c r="K2" s="288"/>
      <x:c r="L2" s="288"/>
      <x:c r="M2" s="288"/>
      <x:c r="N2" s="288"/>
      <x:c r="O2" s="232"/>
      <x:c r="P2" s="232"/>
      <x:c r="Q2" s="232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P&amp;L Account</x:v>
      </x:c>
      <x:c r="B5" s="269" t="n">
        <x:v>46235</x:v>
      </x:c>
      <x:c r="C5" s="269" t="n">
        <x:v>46266</x:v>
      </x:c>
      <x:c r="D5" s="269" t="n">
        <x:v>46296</x:v>
      </x:c>
      <x:c r="E5" s="269" t="n">
        <x:v>46327</x:v>
      </x:c>
      <x:c r="F5" s="269" t="n">
        <x:v>46357</x:v>
      </x:c>
      <x:c r="G5" s="269" t="n">
        <x:v>46388</x:v>
      </x:c>
      <x:c r="H5" s="269" t="n">
        <x:v>46419</x:v>
      </x:c>
      <x:c r="I5" s="269" t="n">
        <x:v>46447</x:v>
      </x:c>
      <x:c r="J5" s="269" t="n">
        <x:v>46478</x:v>
      </x:c>
      <x:c r="K5" s="269" t="n">
        <x:v>46508</x:v>
      </x:c>
      <x:c r="L5" s="269" t="n">
        <x:v>46539</x:v>
      </x:c>
      <x:c r="M5" s="269" t="n">
        <x:v>46569</x:v>
      </x:c>
      <x:c r="N5" s="197" t="str">
        <x:v>FY Total</x:v>
      </x:c>
      <x:c r="O5" s="232"/>
      <x:c r="P5" s="232"/>
      <x:c r="Q5" s="232"/>
    </x:row>
    <x:row r="6" ht="20" customHeight="1">
      <x:c r="A6" s="273" t="str">
        <x:v>REVENUE</x:v>
      </x:c>
      <x:c r="B6" s="273"/>
      <x:c r="C6" s="273"/>
      <x:c r="D6" s="273"/>
      <x:c r="E6" s="273"/>
      <x:c r="F6" s="273"/>
      <x:c r="G6" s="273"/>
      <x:c r="H6" s="273"/>
      <x:c r="I6" s="273"/>
      <x:c r="J6" s="273"/>
      <x:c r="K6" s="273"/>
      <x:c r="L6" s="273"/>
      <x:c r="M6" s="273"/>
      <x:c r="N6" s="273"/>
      <x:c r="O6" s="232"/>
      <x:c r="P6" s="232"/>
      <x:c r="Q6" s="232"/>
    </x:row>
    <x:row r="7">
      <x:c r="A7" s="232" t="str">
        <x:v>Solo Subscription Revenue</x:v>
      </x:c>
      <x:c r="B7" s="309" t="n">
        <x:f>'Revenue Build'!B15</x:f>
        <x:v>0</x:v>
      </x:c>
      <x:c r="C7" s="309" t="n">
        <x:f>'Revenue Build'!C15</x:f>
        <x:v>0</x:v>
      </x:c>
      <x:c r="D7" s="309" t="n">
        <x:f>'Revenue Build'!D15</x:f>
        <x:v>472</x:v>
      </x:c>
      <x:c r="E7" s="309" t="n">
        <x:f>'Revenue Build'!E15</x:f>
        <x:v>885</x:v>
      </x:c>
      <x:c r="F7" s="309" t="n">
        <x:f>'Revenue Build'!F15</x:f>
        <x:v>1475</x:v>
      </x:c>
      <x:c r="G7" s="309" t="n">
        <x:f>'Revenue Build'!G15</x:f>
        <x:v>2360</x:v>
      </x:c>
      <x:c r="H7" s="309" t="n">
        <x:f>'Revenue Build'!H15</x:f>
        <x:v>3540</x:v>
      </x:c>
      <x:c r="I7" s="309" t="n">
        <x:f>'Revenue Build'!I15</x:f>
        <x:v>5015</x:v>
      </x:c>
      <x:c r="J7" s="309" t="n">
        <x:f>'Revenue Build'!J15</x:f>
        <x:v>6785</x:v>
      </x:c>
      <x:c r="K7" s="309" t="n">
        <x:f>'Revenue Build'!K15</x:f>
        <x:v>8850</x:v>
      </x:c>
      <x:c r="L7" s="309" t="n">
        <x:f>'Revenue Build'!L15</x:f>
        <x:v>11210</x:v>
      </x:c>
      <x:c r="M7" s="309" t="n">
        <x:f>'Revenue Build'!M15</x:f>
        <x:v>14160</x:v>
      </x:c>
      <x:c r="N7" s="309" t="n">
        <x:f>SUM(B7:M7)</x:f>
        <x:v>54752</x:v>
      </x:c>
      <x:c r="O7" s="232"/>
      <x:c r="P7" s="232"/>
      <x:c r="Q7" s="232"/>
    </x:row>
    <x:row r="8">
      <x:c r="A8" s="232" t="str">
        <x:v>Professional Subscription Revenue</x:v>
      </x:c>
      <x:c r="B8" s="309" t="n">
        <x:f>'Revenue Build'!B16</x:f>
        <x:v>0</x:v>
      </x:c>
      <x:c r="C8" s="309" t="n">
        <x:f>'Revenue Build'!C16</x:f>
        <x:v>0</x:v>
      </x:c>
      <x:c r="D8" s="309" t="n">
        <x:f>'Revenue Build'!D16</x:f>
        <x:v>238</x:v>
      </x:c>
      <x:c r="E8" s="309" t="n">
        <x:f>'Revenue Build'!E16</x:f>
        <x:v>476</x:v>
      </x:c>
      <x:c r="F8" s="309" t="n">
        <x:f>'Revenue Build'!F16</x:f>
        <x:v>714</x:v>
      </x:c>
      <x:c r="G8" s="309" t="n">
        <x:f>'Revenue Build'!G16</x:f>
        <x:v>1190</x:v>
      </x:c>
      <x:c r="H8" s="309" t="n">
        <x:f>'Revenue Build'!H16</x:f>
        <x:v>1666</x:v>
      </x:c>
      <x:c r="I8" s="309" t="n">
        <x:f>'Revenue Build'!I16</x:f>
        <x:v>2142</x:v>
      </x:c>
      <x:c r="J8" s="309" t="n">
        <x:f>'Revenue Build'!J16</x:f>
        <x:v>2737</x:v>
      </x:c>
      <x:c r="K8" s="309" t="n">
        <x:f>'Revenue Build'!K16</x:f>
        <x:v>3570</x:v>
      </x:c>
      <x:c r="L8" s="309" t="n">
        <x:f>'Revenue Build'!L16</x:f>
        <x:v>4522</x:v>
      </x:c>
      <x:c r="M8" s="309" t="n">
        <x:f>'Revenue Build'!M16</x:f>
        <x:v>5712</x:v>
      </x:c>
      <x:c r="N8" s="309" t="n">
        <x:f>SUM(B8:M8)</x:f>
        <x:v>22967</x:v>
      </x:c>
      <x:c r="O8" s="232"/>
      <x:c r="P8" s="232"/>
      <x:c r="Q8" s="232"/>
    </x:row>
    <x:row r="9">
      <x:c r="A9" s="232" t="str">
        <x:v>Team Subscription Revenue</x:v>
      </x:c>
      <x:c r="B9" s="309" t="n">
        <x:f>'Revenue Build'!B17</x:f>
        <x:v>0</x:v>
      </x:c>
      <x:c r="C9" s="309" t="n">
        <x:f>'Revenue Build'!C17</x:f>
        <x:v>0</x:v>
      </x:c>
      <x:c r="D9" s="309" t="n">
        <x:f>'Revenue Build'!D17</x:f>
        <x:v>0</x:v>
      </x:c>
      <x:c r="E9" s="309" t="n">
        <x:f>'Revenue Build'!E17</x:f>
        <x:v>349</x:v>
      </x:c>
      <x:c r="F9" s="309" t="n">
        <x:f>'Revenue Build'!F17</x:f>
        <x:v>349</x:v>
      </x:c>
      <x:c r="G9" s="309" t="n">
        <x:f>'Revenue Build'!G17</x:f>
        <x:v>698</x:v>
      </x:c>
      <x:c r="H9" s="309" t="n">
        <x:f>'Revenue Build'!H17</x:f>
        <x:v>1047</x:v>
      </x:c>
      <x:c r="I9" s="309" t="n">
        <x:f>'Revenue Build'!I17</x:f>
        <x:v>1396</x:v>
      </x:c>
      <x:c r="J9" s="309" t="n">
        <x:f>'Revenue Build'!J17</x:f>
        <x:v>1745</x:v>
      </x:c>
      <x:c r="K9" s="309" t="n">
        <x:f>'Revenue Build'!K17</x:f>
        <x:v>2443</x:v>
      </x:c>
      <x:c r="L9" s="309" t="n">
        <x:f>'Revenue Build'!L17</x:f>
        <x:v>3141</x:v>
      </x:c>
      <x:c r="M9" s="309" t="n">
        <x:f>'Revenue Build'!M17</x:f>
        <x:v>4188</x:v>
      </x:c>
      <x:c r="N9" s="309" t="n">
        <x:f>SUM(B9:M9)</x:f>
        <x:v>15356</x:v>
      </x:c>
      <x:c r="O9" s="232"/>
      <x:c r="P9" s="232"/>
      <x:c r="Q9" s="232"/>
    </x:row>
    <x:row r="10">
      <x:c r="A10" s="232" t="str">
        <x:v>Enterprise Subscription Revenue</x:v>
      </x:c>
      <x:c r="B10" s="309" t="n">
        <x:f>'Revenue Build'!B18</x:f>
        <x:v>0</x:v>
      </x:c>
      <x:c r="C10" s="309" t="n">
        <x:f>'Revenue Build'!C18</x:f>
        <x:v>0</x:v>
      </x:c>
      <x:c r="D10" s="309" t="n">
        <x:f>'Revenue Build'!D18</x:f>
        <x:v>0</x:v>
      </x:c>
      <x:c r="E10" s="309" t="n">
        <x:f>'Revenue Build'!E18</x:f>
        <x:v>0</x:v>
      </x:c>
      <x:c r="F10" s="309" t="n">
        <x:f>'Revenue Build'!F18</x:f>
        <x:v>0</x:v>
      </x:c>
      <x:c r="G10" s="309" t="n">
        <x:f>'Revenue Build'!G18</x:f>
        <x:v>0</x:v>
      </x:c>
      <x:c r="H10" s="309" t="n">
        <x:f>'Revenue Build'!H18</x:f>
        <x:v>0</x:v>
      </x:c>
      <x:c r="I10" s="309" t="n">
        <x:f>'Revenue Build'!I18</x:f>
        <x:v>0</x:v>
      </x:c>
      <x:c r="J10" s="309" t="n">
        <x:f>'Revenue Build'!J18</x:f>
        <x:v>0</x:v>
      </x:c>
      <x:c r="K10" s="309" t="n">
        <x:f>'Revenue Build'!K18</x:f>
        <x:v>0</x:v>
      </x:c>
      <x:c r="L10" s="309" t="n">
        <x:f>'Revenue Build'!L18</x:f>
        <x:v>0</x:v>
      </x:c>
      <x:c r="M10" s="309" t="n">
        <x:f>'Revenue Build'!M18</x:f>
        <x:v>1500</x:v>
      </x:c>
      <x:c r="N10" s="309" t="n">
        <x:f>SUM(B10:M10)</x:f>
        <x:v>1500</x:v>
      </x:c>
      <x:c r="O10" s="232"/>
      <x:c r="P10" s="232"/>
      <x:c r="Q10" s="232"/>
    </x:row>
    <x:row r="11">
      <x:c r="A11" s="291" t="str">
        <x:v>Total Revenue</x:v>
      </x:c>
      <x:c r="B11" s="350" t="n">
        <x:f>SUM(B7:B10)</x:f>
        <x:v>0</x:v>
      </x:c>
      <x:c r="C11" s="350" t="n">
        <x:f>SUM(C7:C10)</x:f>
        <x:v>0</x:v>
      </x:c>
      <x:c r="D11" s="350" t="n">
        <x:f>SUM(D7:D10)</x:f>
        <x:v>710</x:v>
      </x:c>
      <x:c r="E11" s="350" t="n">
        <x:f>SUM(E7:E10)</x:f>
        <x:v>1710</x:v>
      </x:c>
      <x:c r="F11" s="350" t="n">
        <x:f>SUM(F7:F10)</x:f>
        <x:v>2538</x:v>
      </x:c>
      <x:c r="G11" s="350" t="n">
        <x:f>SUM(G7:G10)</x:f>
        <x:v>4248</x:v>
      </x:c>
      <x:c r="H11" s="350" t="n">
        <x:f>SUM(H7:H10)</x:f>
        <x:v>6253</x:v>
      </x:c>
      <x:c r="I11" s="350" t="n">
        <x:f>SUM(I7:I10)</x:f>
        <x:v>8553</x:v>
      </x:c>
      <x:c r="J11" s="350" t="n">
        <x:f>SUM(J7:J10)</x:f>
        <x:v>11267</x:v>
      </x:c>
      <x:c r="K11" s="350" t="n">
        <x:f>SUM(K7:K10)</x:f>
        <x:v>14863</x:v>
      </x:c>
      <x:c r="L11" s="350" t="n">
        <x:f>SUM(L7:L10)</x:f>
        <x:v>18873</x:v>
      </x:c>
      <x:c r="M11" s="350" t="n">
        <x:f>SUM(M7:M10)</x:f>
        <x:v>25560</x:v>
      </x:c>
      <x:c r="N11" s="350" t="n">
        <x:f>SUM(B11:M11)</x:f>
        <x:v>94575</x:v>
      </x:c>
      <x:c r="O11" s="232"/>
      <x:c r="P11" s="232"/>
      <x:c r="Q11" s="232"/>
    </x:row>
    <x:row r="12">
      <x:c r="A12" s="232"/>
      <x:c r="B12" s="351"/>
      <x:c r="C12" s="351"/>
      <x:c r="D12" s="351"/>
      <x:c r="E12" s="351"/>
      <x:c r="F12" s="351"/>
      <x:c r="G12" s="351"/>
      <x:c r="H12" s="351"/>
      <x:c r="I12" s="351"/>
      <x:c r="J12" s="351"/>
      <x:c r="K12" s="351"/>
      <x:c r="L12" s="351"/>
      <x:c r="M12" s="351"/>
      <x:c r="N12" s="351"/>
      <x:c r="O12" s="232"/>
      <x:c r="P12" s="232"/>
      <x:c r="Q12" s="232"/>
    </x:row>
    <x:row r="13" ht="20" customHeight="1">
      <x:c r="A13" s="273" t="str">
        <x:v>COST OF REVENUE</x:v>
      </x:c>
      <x:c r="B13" s="334"/>
      <x:c r="C13" s="334"/>
      <x:c r="D13" s="334"/>
      <x:c r="E13" s="334"/>
      <x:c r="F13" s="334"/>
      <x:c r="G13" s="334"/>
      <x:c r="H13" s="334"/>
      <x:c r="I13" s="334"/>
      <x:c r="J13" s="334"/>
      <x:c r="K13" s="334"/>
      <x:c r="L13" s="334"/>
      <x:c r="M13" s="334"/>
      <x:c r="N13" s="334"/>
      <x:c r="O13" s="232"/>
      <x:c r="P13" s="232"/>
      <x:c r="Q13" s="232"/>
    </x:row>
    <x:row r="14">
      <x:c r="A14" s="232" t="str">
        <x:v>OCR / Research / AI / Contact Usage</x:v>
      </x:c>
      <x:c r="B14" s="309" t="n">
        <x:f>'Subscriber Plan'!B7*'Assumptions'!$B$22*'Assumptions'!$C$22+'Subscriber Plan'!B8*'Assumptions'!$B$23*'Assumptions'!$C$23+'Subscriber Plan'!B9*'Assumptions'!$B$24*'Assumptions'!$C$24+'Subscriber Plan'!B10*'Assumptions'!$B$25*'Assumptions'!$C$25</x:f>
        <x:v>0</x:v>
      </x:c>
      <x:c r="C14" s="309" t="n">
        <x:f>'Subscriber Plan'!C7*'Assumptions'!$B$22*'Assumptions'!$C$22+'Subscriber Plan'!C8*'Assumptions'!$B$23*'Assumptions'!$C$23+'Subscriber Plan'!C9*'Assumptions'!$B$24*'Assumptions'!$C$24+'Subscriber Plan'!C10*'Assumptions'!$B$25*'Assumptions'!$C$25</x:f>
        <x:v>0</x:v>
      </x:c>
      <x:c r="D14" s="309" t="n">
        <x:f>'Subscriber Plan'!D7*'Assumptions'!$B$22*'Assumptions'!$C$22+'Subscriber Plan'!D8*'Assumptions'!$B$23*'Assumptions'!$C$23+'Subscriber Plan'!D9*'Assumptions'!$B$24*'Assumptions'!$C$24+'Subscriber Plan'!D10*'Assumptions'!$B$25*'Assumptions'!$C$25</x:f>
        <x:v>28</x:v>
      </x:c>
      <x:c r="E14" s="309" t="n">
        <x:f>'Subscriber Plan'!E7*'Assumptions'!$B$22*'Assumptions'!$C$22+'Subscriber Plan'!E8*'Assumptions'!$B$23*'Assumptions'!$C$23+'Subscriber Plan'!E9*'Assumptions'!$B$24*'Assumptions'!$C$24+'Subscriber Plan'!E10*'Assumptions'!$B$25*'Assumptions'!$C$25</x:f>
        <x:v>72</x:v>
      </x:c>
      <x:c r="F14" s="309" t="n">
        <x:f>'Subscriber Plan'!F7*'Assumptions'!$B$22*'Assumptions'!$C$22+'Subscriber Plan'!F8*'Assumptions'!$B$23*'Assumptions'!$C$23+'Subscriber Plan'!F9*'Assumptions'!$B$24*'Assumptions'!$C$24+'Subscriber Plan'!F10*'Assumptions'!$B$25*'Assumptions'!$C$25</x:f>
        <x:v>104</x:v>
      </x:c>
      <x:c r="G14" s="309" t="n">
        <x:f>'Subscriber Plan'!G7*'Assumptions'!$B$22*'Assumptions'!$C$22+'Subscriber Plan'!G8*'Assumptions'!$B$23*'Assumptions'!$C$23+'Subscriber Plan'!G9*'Assumptions'!$B$24*'Assumptions'!$C$24+'Subscriber Plan'!G10*'Assumptions'!$B$25*'Assumptions'!$C$25</x:f>
        <x:v>176</x:v>
      </x:c>
      <x:c r="H14" s="309" t="n">
        <x:f>'Subscriber Plan'!H7*'Assumptions'!$B$22*'Assumptions'!$C$22+'Subscriber Plan'!H8*'Assumptions'!$B$23*'Assumptions'!$C$23+'Subscriber Plan'!H9*'Assumptions'!$B$24*'Assumptions'!$C$24+'Subscriber Plan'!H10*'Assumptions'!$B$25*'Assumptions'!$C$25</x:f>
        <x:v>258</x:v>
      </x:c>
      <x:c r="I14" s="309" t="n">
        <x:f>'Subscriber Plan'!I7*'Assumptions'!$B$22*'Assumptions'!$C$22+'Subscriber Plan'!I8*'Assumptions'!$B$23*'Assumptions'!$C$23+'Subscriber Plan'!I9*'Assumptions'!$B$24*'Assumptions'!$C$24+'Subscriber Plan'!I10*'Assumptions'!$B$25*'Assumptions'!$C$25</x:f>
        <x:v>350</x:v>
      </x:c>
      <x:c r="J14" s="309" t="n">
        <x:f>'Subscriber Plan'!J7*'Assumptions'!$B$22*'Assumptions'!$C$22+'Subscriber Plan'!J8*'Assumptions'!$B$23*'Assumptions'!$C$23+'Subscriber Plan'!J9*'Assumptions'!$B$24*'Assumptions'!$C$24+'Subscriber Plan'!J10*'Assumptions'!$B$25*'Assumptions'!$C$25</x:f>
        <x:v>458</x:v>
      </x:c>
      <x:c r="K14" s="309" t="n">
        <x:f>'Subscriber Plan'!K7*'Assumptions'!$B$22*'Assumptions'!$C$22+'Subscriber Plan'!K8*'Assumptions'!$B$23*'Assumptions'!$C$23+'Subscriber Plan'!K9*'Assumptions'!$B$24*'Assumptions'!$C$24+'Subscriber Plan'!K10*'Assumptions'!$B$25*'Assumptions'!$C$25</x:f>
        <x:v>606</x:v>
      </x:c>
      <x:c r="L14" s="309" t="n">
        <x:f>'Subscriber Plan'!L7*'Assumptions'!$B$22*'Assumptions'!$C$22+'Subscriber Plan'!L8*'Assumptions'!$B$23*'Assumptions'!$C$23+'Subscriber Plan'!L9*'Assumptions'!$B$24*'Assumptions'!$C$24+'Subscriber Plan'!L10*'Assumptions'!$B$25*'Assumptions'!$C$25</x:f>
        <x:v>770</x:v>
      </x:c>
      <x:c r="M14" s="309" t="n">
        <x:f>'Subscriber Plan'!M7*'Assumptions'!$B$22*'Assumptions'!$C$22+'Subscriber Plan'!M8*'Assumptions'!$B$23*'Assumptions'!$C$23+'Subscriber Plan'!M9*'Assumptions'!$B$24*'Assumptions'!$C$24+'Subscriber Plan'!M10*'Assumptions'!$B$25*'Assumptions'!$C$25</x:f>
        <x:v>1044</x:v>
      </x:c>
      <x:c r="N14" s="309" t="n">
        <x:f>SUM(B14:M14)</x:f>
        <x:v>3866</x:v>
      </x:c>
      <x:c r="O14" s="232"/>
      <x:c r="P14" s="232"/>
      <x:c r="Q14" s="232"/>
    </x:row>
    <x:row r="15">
      <x:c r="A15" s="232" t="str">
        <x:v>Payment Processing &amp; App Store Commissions</x:v>
      </x:c>
      <x:c r="B15" s="309" t="n">
        <x:f>'Revenue Build'!B19*('Assumptions'!$B$29*('Assumptions'!$B$31+'Assumptions'!$B$33)+'Assumptions'!$B$30*'Assumptions'!$B$34)+'Revenue Build'!B11*'Assumptions'!$B$29*'Assumptions'!$B$32</x:f>
        <x:v>0</x:v>
      </x:c>
      <x:c r="C15" s="309" t="n">
        <x:f>'Revenue Build'!C19*('Assumptions'!$B$29*('Assumptions'!$B$31+'Assumptions'!$B$33)+'Assumptions'!$B$30*'Assumptions'!$B$34)+'Revenue Build'!C11*'Assumptions'!$B$29*'Assumptions'!$B$32</x:f>
        <x:v>0</x:v>
      </x:c>
      <x:c r="D15" s="309" t="n">
        <x:f>'Revenue Build'!D19*('Assumptions'!$B$29*('Assumptions'!$B$31+'Assumptions'!$B$33)+'Assumptions'!$B$30*'Assumptions'!$B$34)+'Revenue Build'!D11*'Assumptions'!$B$29*'Assumptions'!$B$32</x:f>
        <x:v>59.736000000000004</x:v>
      </x:c>
      <x:c r="E15" s="309" t="n">
        <x:f>'Revenue Build'!E19*('Assumptions'!$B$29*('Assumptions'!$B$31+'Assumptions'!$B$33)+'Assumptions'!$B$30*'Assumptions'!$B$34)+'Revenue Build'!E11*'Assumptions'!$B$29*'Assumptions'!$B$32</x:f>
        <x:v>143.136</x:v>
      </x:c>
      <x:c r="F15" s="309" t="n">
        <x:f>'Revenue Build'!F19*('Assumptions'!$B$29*('Assumptions'!$B$31+'Assumptions'!$B$33)+'Assumptions'!$B$30*'Assumptions'!$B$34)+'Revenue Build'!F11*'Assumptions'!$B$29*'Assumptions'!$B$32</x:f>
        <x:v>212.8608</x:v>
      </x:c>
      <x:c r="G15" s="309" t="n">
        <x:f>'Revenue Build'!G19*('Assumptions'!$B$29*('Assumptions'!$B$31+'Assumptions'!$B$33)+'Assumptions'!$B$30*'Assumptions'!$B$34)+'Revenue Build'!G11*'Assumptions'!$B$29*'Assumptions'!$B$32</x:f>
        <x:v>355.99680000000006</x:v>
      </x:c>
      <x:c r="H15" s="309" t="n">
        <x:f>'Revenue Build'!H19*('Assumptions'!$B$29*('Assumptions'!$B$31+'Assumptions'!$B$33)+'Assumptions'!$B$30*'Assumptions'!$B$34)+'Revenue Build'!H11*'Assumptions'!$B$29*'Assumptions'!$B$32</x:f>
        <x:v>524.1048000000001</x:v>
      </x:c>
      <x:c r="I15" s="309" t="n">
        <x:f>'Revenue Build'!I19*('Assumptions'!$B$29*('Assumptions'!$B$31+'Assumptions'!$B$33)+'Assumptions'!$B$30*'Assumptions'!$B$34)+'Revenue Build'!I11*'Assumptions'!$B$29*'Assumptions'!$B$32</x:f>
        <x:v>717.1848</x:v>
      </x:c>
      <x:c r="J15" s="309" t="n">
        <x:f>'Revenue Build'!J19*('Assumptions'!$B$29*('Assumptions'!$B$31+'Assumptions'!$B$33)+'Assumptions'!$B$30*'Assumptions'!$B$34)+'Revenue Build'!J11*'Assumptions'!$B$29*'Assumptions'!$B$32</x:f>
        <x:v>945.1272000000001</x:v>
      </x:c>
      <x:c r="K15" s="309" t="n">
        <x:f>'Revenue Build'!K19*('Assumptions'!$B$29*('Assumptions'!$B$31+'Assumptions'!$B$33)+'Assumptions'!$B$30*'Assumptions'!$B$34)+'Revenue Build'!K11*'Assumptions'!$B$29*'Assumptions'!$B$32</x:f>
        <x:v>1246.4808000000003</x:v>
      </x:c>
      <x:c r="L15" s="309" t="n">
        <x:f>'Revenue Build'!L19*('Assumptions'!$B$29*('Assumptions'!$B$31+'Assumptions'!$B$33)+'Assumptions'!$B$30*'Assumptions'!$B$34)+'Revenue Build'!L11*'Assumptions'!$B$29*'Assumptions'!$B$32</x:f>
        <x:v>1582.6968000000002</x:v>
      </x:c>
      <x:c r="M15" s="309" t="n">
        <x:f>'Revenue Build'!M19*('Assumptions'!$B$29*('Assumptions'!$B$31+'Assumptions'!$B$33)+'Assumptions'!$B$30*'Assumptions'!$B$34)+'Revenue Build'!M11*'Assumptions'!$B$29*'Assumptions'!$B$32</x:f>
        <x:v>2139.876</x:v>
      </x:c>
      <x:c r="N15" s="309" t="n">
        <x:f>SUM(B15:M15)</x:f>
        <x:v>7927.200000000001</x:v>
      </x:c>
      <x:c r="O15" s="232"/>
      <x:c r="P15" s="232"/>
      <x:c r="Q15" s="232"/>
    </x:row>
    <x:row r="16">
      <x:c r="A16" s="232" t="str">
        <x:v>RevenueCat Subscription Infrastructure</x:v>
      </x:c>
      <x:c r="B16" s="309" t="n">
        <x:f>IF('Revenue Build'!B22&gt;'Assumptions'!$B$36,'Revenue Build'!B22*'Assumptions'!$B$35,0)</x:f>
        <x:v>0</x:v>
      </x:c>
      <x:c r="C16" s="309" t="n">
        <x:f>IF('Revenue Build'!C22&gt;'Assumptions'!$B$36,'Revenue Build'!C22*'Assumptions'!$B$35,0)</x:f>
        <x:v>0</x:v>
      </x:c>
      <x:c r="D16" s="309" t="n">
        <x:f>IF('Revenue Build'!D22&gt;'Assumptions'!$B$36,'Revenue Build'!D22*'Assumptions'!$B$35,0)</x:f>
        <x:v>0</x:v>
      </x:c>
      <x:c r="E16" s="309" t="n">
        <x:f>IF('Revenue Build'!E22&gt;'Assumptions'!$B$36,'Revenue Build'!E22*'Assumptions'!$B$35,0)</x:f>
        <x:v>0</x:v>
      </x:c>
      <x:c r="F16" s="309" t="n">
        <x:f>IF('Revenue Build'!F22&gt;'Assumptions'!$B$36,'Revenue Build'!F22*'Assumptions'!$B$35,0)</x:f>
        <x:v>0</x:v>
      </x:c>
      <x:c r="G16" s="309" t="n">
        <x:f>IF('Revenue Build'!G22&gt;'Assumptions'!$B$36,'Revenue Build'!G22*'Assumptions'!$B$35,0)</x:f>
        <x:v>0</x:v>
      </x:c>
      <x:c r="H16" s="309" t="n">
        <x:f>IF('Revenue Build'!H22&gt;'Assumptions'!$B$36,'Revenue Build'!H22*'Assumptions'!$B$35,0)</x:f>
        <x:v>25.012000000000004</x:v>
      </x:c>
      <x:c r="I16" s="309" t="n">
        <x:f>IF('Revenue Build'!I22&gt;'Assumptions'!$B$36,'Revenue Build'!I22*'Assumptions'!$B$35,0)</x:f>
        <x:v>34.212</x:v>
      </x:c>
      <x:c r="J16" s="309" t="n">
        <x:f>IF('Revenue Build'!J22&gt;'Assumptions'!$B$36,'Revenue Build'!J22*'Assumptions'!$B$35,0)</x:f>
        <x:v>45.068000000000005</x:v>
      </x:c>
      <x:c r="K16" s="309" t="n">
        <x:f>IF('Revenue Build'!K22&gt;'Assumptions'!$B$36,'Revenue Build'!K22*'Assumptions'!$B$35,0)</x:f>
        <x:v>59.452000000000005</x:v>
      </x:c>
      <x:c r="L16" s="309" t="n">
        <x:f>IF('Revenue Build'!L22&gt;'Assumptions'!$B$36,'Revenue Build'!L22*'Assumptions'!$B$35,0)</x:f>
        <x:v>75.492</x:v>
      </x:c>
      <x:c r="M16" s="309" t="n">
        <x:f>IF('Revenue Build'!M22&gt;'Assumptions'!$B$36,'Revenue Build'!M22*'Assumptions'!$B$35,0)</x:f>
        <x:v>102.24000000000001</x:v>
      </x:c>
      <x:c r="N16" s="309" t="n">
        <x:f>SUM(B16:M16)</x:f>
        <x:v>341.476</x:v>
      </x:c>
      <x:c r="O16" s="232"/>
      <x:c r="P16" s="232"/>
      <x:c r="Q16" s="232"/>
    </x:row>
    <x:row r="17">
      <x:c r="A17" s="232" t="str">
        <x:v>Hosting &amp; Storage</x:v>
      </x:c>
      <x:c r="B17" s="309" t="n">
        <x:f>'Operating Budget'!B7</x:f>
        <x:v>50</x:v>
      </x:c>
      <x:c r="C17" s="309" t="n">
        <x:f>'Operating Budget'!C7</x:f>
        <x:v>50</x:v>
      </x:c>
      <x:c r="D17" s="309" t="n">
        <x:f>'Operating Budget'!D7</x:f>
        <x:v>100</x:v>
      </x:c>
      <x:c r="E17" s="309" t="n">
        <x:f>'Operating Budget'!E7</x:f>
        <x:v>100</x:v>
      </x:c>
      <x:c r="F17" s="309" t="n">
        <x:f>'Operating Budget'!F7</x:f>
        <x:v>100</x:v>
      </x:c>
      <x:c r="G17" s="309" t="n">
        <x:f>'Operating Budget'!G7</x:f>
        <x:v>250</x:v>
      </x:c>
      <x:c r="H17" s="309" t="n">
        <x:f>'Operating Budget'!H7</x:f>
        <x:v>250</x:v>
      </x:c>
      <x:c r="I17" s="309" t="n">
        <x:f>'Operating Budget'!I7</x:f>
        <x:v>250</x:v>
      </x:c>
      <x:c r="J17" s="309" t="n">
        <x:f>'Operating Budget'!J7</x:f>
        <x:v>500</x:v>
      </x:c>
      <x:c r="K17" s="309" t="n">
        <x:f>'Operating Budget'!K7</x:f>
        <x:v>500</x:v>
      </x:c>
      <x:c r="L17" s="309" t="n">
        <x:f>'Operating Budget'!L7</x:f>
        <x:v>500</x:v>
      </x:c>
      <x:c r="M17" s="309" t="n">
        <x:f>'Operating Budget'!M7</x:f>
        <x:v>750</x:v>
      </x:c>
      <x:c r="N17" s="309" t="n">
        <x:f>SUM(B17:M17)</x:f>
        <x:v>3400</x:v>
      </x:c>
      <x:c r="O17" s="232"/>
      <x:c r="P17" s="232"/>
      <x:c r="Q17" s="232"/>
    </x:row>
    <x:row r="18">
      <x:c r="A18" s="232" t="str">
        <x:v>Transactional Email &amp; Notifications</x:v>
      </x:c>
      <x:c r="B18" s="309" t="n">
        <x:f>'Operating Budget'!B8</x:f>
        <x:v>0</x:v>
      </x:c>
      <x:c r="C18" s="309" t="n">
        <x:f>'Operating Budget'!C8</x:f>
        <x:v>0</x:v>
      </x:c>
      <x:c r="D18" s="309" t="n">
        <x:f>'Operating Budget'!D8</x:f>
        <x:v>10</x:v>
      </x:c>
      <x:c r="E18" s="309" t="n">
        <x:f>'Operating Budget'!E8</x:f>
        <x:v>15</x:v>
      </x:c>
      <x:c r="F18" s="309" t="n">
        <x:f>'Operating Budget'!F8</x:f>
        <x:v>25</x:v>
      </x:c>
      <x:c r="G18" s="309" t="n">
        <x:f>'Operating Budget'!G8</x:f>
        <x:v>40</x:v>
      </x:c>
      <x:c r="H18" s="309" t="n">
        <x:f>'Operating Budget'!H8</x:f>
        <x:v>60</x:v>
      </x:c>
      <x:c r="I18" s="309" t="n">
        <x:f>'Operating Budget'!I8</x:f>
        <x:v>80</x:v>
      </x:c>
      <x:c r="J18" s="309" t="n">
        <x:f>'Operating Budget'!J8</x:f>
        <x:v>100</x:v>
      </x:c>
      <x:c r="K18" s="309" t="n">
        <x:f>'Operating Budget'!K8</x:f>
        <x:v>125</x:v>
      </x:c>
      <x:c r="L18" s="309" t="n">
        <x:f>'Operating Budget'!L8</x:f>
        <x:v>150</x:v>
      </x:c>
      <x:c r="M18" s="309" t="n">
        <x:f>'Operating Budget'!M8</x:f>
        <x:v>200</x:v>
      </x:c>
      <x:c r="N18" s="309" t="n">
        <x:f>SUM(B18:M18)</x:f>
        <x:v>805</x:v>
      </x:c>
      <x:c r="O18" s="232"/>
      <x:c r="P18" s="232"/>
      <x:c r="Q18" s="232"/>
    </x:row>
    <x:row r="19">
      <x:c r="A19" s="232" t="str">
        <x:v>Direct Customer Support</x:v>
      </x:c>
      <x:c r="B19" s="309" t="n">
        <x:f>'Operating Budget'!B9</x:f>
        <x:v>0</x:v>
      </x:c>
      <x:c r="C19" s="309" t="n">
        <x:f>'Operating Budget'!C9</x:f>
        <x:v>0</x:v>
      </x:c>
      <x:c r="D19" s="309" t="n">
        <x:f>'Operating Budget'!D9</x:f>
        <x:v>0</x:v>
      </x:c>
      <x:c r="E19" s="309" t="n">
        <x:f>'Operating Budget'!E9</x:f>
        <x:v>0</x:v>
      </x:c>
      <x:c r="F19" s="309" t="n">
        <x:f>'Operating Budget'!F9</x:f>
        <x:v>0</x:v>
      </x:c>
      <x:c r="G19" s="309" t="n">
        <x:f>'Operating Budget'!G9</x:f>
        <x:v>0</x:v>
      </x:c>
      <x:c r="H19" s="309" t="n">
        <x:f>'Operating Budget'!H9</x:f>
        <x:v>0</x:v>
      </x:c>
      <x:c r="I19" s="309" t="n">
        <x:f>'Operating Budget'!I9</x:f>
        <x:v>500</x:v>
      </x:c>
      <x:c r="J19" s="309" t="n">
        <x:f>'Operating Budget'!J9</x:f>
        <x:v>500</x:v>
      </x:c>
      <x:c r="K19" s="309" t="n">
        <x:f>'Operating Budget'!K9</x:f>
        <x:v>500</x:v>
      </x:c>
      <x:c r="L19" s="309" t="n">
        <x:f>'Operating Budget'!L9</x:f>
        <x:v>500</x:v>
      </x:c>
      <x:c r="M19" s="309" t="n">
        <x:f>'Operating Budget'!M9</x:f>
        <x:v>1500</x:v>
      </x:c>
      <x:c r="N19" s="309" t="n">
        <x:f>SUM(B19:M19)</x:f>
        <x:v>3500</x:v>
      </x:c>
      <x:c r="O19" s="232"/>
      <x:c r="P19" s="232"/>
      <x:c r="Q19" s="232"/>
    </x:row>
    <x:row r="20">
      <x:c r="A20" s="291" t="str">
        <x:v>Total Cost of Revenue</x:v>
      </x:c>
      <x:c r="B20" s="350" t="n">
        <x:f>SUM(B14:B19)</x:f>
        <x:v>50</x:v>
      </x:c>
      <x:c r="C20" s="350" t="n">
        <x:f>SUM(C14:C19)</x:f>
        <x:v>50</x:v>
      </x:c>
      <x:c r="D20" s="350" t="n">
        <x:f>SUM(D14:D19)</x:f>
        <x:v>197.736</x:v>
      </x:c>
      <x:c r="E20" s="350" t="n">
        <x:f>SUM(E14:E19)</x:f>
        <x:v>330.13599999999997</x:v>
      </x:c>
      <x:c r="F20" s="350" t="n">
        <x:f>SUM(F14:F19)</x:f>
        <x:v>441.86080000000004</x:v>
      </x:c>
      <x:c r="G20" s="350" t="n">
        <x:f>SUM(G14:G19)</x:f>
        <x:v>821.9968000000001</x:v>
      </x:c>
      <x:c r="H20" s="350" t="n">
        <x:f>SUM(H14:H19)</x:f>
        <x:v>1117.1168000000002</x:v>
      </x:c>
      <x:c r="I20" s="350" t="n">
        <x:f>SUM(I14:I19)</x:f>
        <x:v>1931.3968</x:v>
      </x:c>
      <x:c r="J20" s="350" t="n">
        <x:f>SUM(J14:J19)</x:f>
        <x:v>2548.1952</x:v>
      </x:c>
      <x:c r="K20" s="350" t="n">
        <x:f>SUM(K14:K19)</x:f>
        <x:v>3036.9328000000005</x:v>
      </x:c>
      <x:c r="L20" s="350" t="n">
        <x:f>SUM(L14:L19)</x:f>
        <x:v>3578.1888000000004</x:v>
      </x:c>
      <x:c r="M20" s="350" t="n">
        <x:f>SUM(M14:M19)</x:f>
        <x:v>5736.116</x:v>
      </x:c>
      <x:c r="N20" s="350" t="n">
        <x:f>SUM(B20:M20)</x:f>
        <x:v>19839.676</x:v>
      </x:c>
      <x:c r="O20" s="232"/>
      <x:c r="P20" s="232"/>
      <x:c r="Q20" s="232"/>
    </x:row>
    <x:row r="21">
      <x:c r="A21" s="352" t="str">
        <x:v>Gross Profit</x:v>
      </x:c>
      <x:c r="B21" s="353" t="n">
        <x:f>B11-B20</x:f>
        <x:v>-50</x:v>
      </x:c>
      <x:c r="C21" s="353" t="n">
        <x:f>C11-C20</x:f>
        <x:v>-50</x:v>
      </x:c>
      <x:c r="D21" s="353" t="n">
        <x:f>D11-D20</x:f>
        <x:v>512.264</x:v>
      </x:c>
      <x:c r="E21" s="353" t="n">
        <x:f>E11-E20</x:f>
        <x:v>1379.864</x:v>
      </x:c>
      <x:c r="F21" s="353" t="n">
        <x:f>F11-F20</x:f>
        <x:v>2096.1392</x:v>
      </x:c>
      <x:c r="G21" s="353" t="n">
        <x:f>G11-G20</x:f>
        <x:v>3426.0032</x:v>
      </x:c>
      <x:c r="H21" s="353" t="n">
        <x:f>H11-H20</x:f>
        <x:v>5135.8832</x:v>
      </x:c>
      <x:c r="I21" s="353" t="n">
        <x:f>I11-I20</x:f>
        <x:v>6621.6032</x:v>
      </x:c>
      <x:c r="J21" s="353" t="n">
        <x:f>J11-J20</x:f>
        <x:v>8718.8048</x:v>
      </x:c>
      <x:c r="K21" s="353" t="n">
        <x:f>K11-K20</x:f>
        <x:v>11826.0672</x:v>
      </x:c>
      <x:c r="L21" s="353" t="n">
        <x:f>L11-L20</x:f>
        <x:v>15294.8112</x:v>
      </x:c>
      <x:c r="M21" s="353" t="n">
        <x:f>M11-M20</x:f>
        <x:v>19823.884</x:v>
      </x:c>
      <x:c r="N21" s="353" t="n">
        <x:f>N11-N20</x:f>
        <x:v>74735.324</x:v>
      </x:c>
      <x:c r="O21" s="232"/>
      <x:c r="P21" s="232"/>
      <x:c r="Q21" s="232"/>
    </x:row>
    <x:row r="22">
      <x:c r="A22" s="232" t="str">
        <x:v>Gross Margin %</x:v>
      </x:c>
      <x:c r="B22" s="354" t="n">
        <x:f>IFERROR(B21/B11,0)</x:f>
        <x:v>0</x:v>
      </x:c>
      <x:c r="C22" s="354" t="n">
        <x:f>IFERROR(C21/C11,0)</x:f>
        <x:v>0</x:v>
      </x:c>
      <x:c r="D22" s="354" t="n">
        <x:f>IFERROR(D21/D11,0)</x:f>
        <x:v>0.7214985915492957</x:v>
      </x:c>
      <x:c r="E22" s="354" t="n">
        <x:f>IFERROR(E21/E11,0)</x:f>
        <x:v>0.8069380116959064</x:v>
      </x:c>
      <x:c r="F22" s="354" t="n">
        <x:f>IFERROR(F21/F11,0)</x:f>
        <x:v>0.8259019700551615</x:v>
      </x:c>
      <x:c r="G22" s="354" t="n">
        <x:f>IFERROR(G21/G11,0)</x:f>
        <x:v>0.8064979284369115</x:v>
      </x:c>
      <x:c r="H22" s="354" t="n">
        <x:f>IFERROR(H21/H11,0)</x:f>
        <x:v>0.8213470654086039</x:v>
      </x:c>
      <x:c r="I22" s="354" t="n">
        <x:f>IFERROR(I21/I11,0)</x:f>
        <x:v>0.7741848708055652</x:v>
      </x:c>
      <x:c r="J22" s="354" t="n">
        <x:f>IFERROR(J21/J11,0)</x:f>
        <x:v>0.7738355196591816</x:v>
      </x:c>
      <x:c r="K22" s="354" t="n">
        <x:f>IFERROR(K21/K11,0)</x:f>
        <x:v>0.7956716140752204</x:v>
      </x:c>
      <x:c r="L22" s="354" t="n">
        <x:f>IFERROR(L21/L11,0)</x:f>
        <x:v>0.8104069941185821</x:v>
      </x:c>
      <x:c r="M22" s="354" t="n">
        <x:f>IFERROR(M21/M11,0)</x:f>
        <x:v>0.7755823161189358</x:v>
      </x:c>
      <x:c r="N22" s="354" t="n">
        <x:f>IFERROR(N21/N11,0)</x:f>
        <x:v>0.7902228284430346</x:v>
      </x:c>
      <x:c r="O22" s="232"/>
      <x:c r="P22" s="232"/>
      <x:c r="Q22" s="232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</x:row>
    <x:row r="24" ht="20" customHeight="1">
      <x:c r="A24" s="273" t="str">
        <x:v>OPERATING EXPENSES</x:v>
      </x:c>
      <x:c r="B24" s="273"/>
      <x:c r="C24" s="273"/>
      <x:c r="D24" s="273"/>
      <x:c r="E24" s="273"/>
      <x:c r="F24" s="273"/>
      <x:c r="G24" s="273"/>
      <x:c r="H24" s="273"/>
      <x:c r="I24" s="273"/>
      <x:c r="J24" s="273"/>
      <x:c r="K24" s="273"/>
      <x:c r="L24" s="273"/>
      <x:c r="M24" s="273"/>
      <x:c r="N24" s="273"/>
      <x:c r="O24" s="232"/>
      <x:c r="P24" s="232"/>
      <x:c r="Q24" s="232"/>
    </x:row>
    <x:row r="25">
      <x:c r="A25" s="232" t="str">
        <x:v>Product &amp; Engineering Software</x:v>
      </x:c>
      <x:c r="B25" s="309" t="n">
        <x:f>'Operating Budget'!B13</x:f>
        <x:v>200</x:v>
      </x:c>
      <x:c r="C25" s="309" t="n">
        <x:f>'Operating Budget'!C13</x:f>
        <x:v>250</x:v>
      </x:c>
      <x:c r="D25" s="309" t="n">
        <x:f>'Operating Budget'!D13</x:f>
        <x:v>300</x:v>
      </x:c>
      <x:c r="E25" s="309" t="n">
        <x:f>'Operating Budget'!E13</x:f>
        <x:v>350</x:v>
      </x:c>
      <x:c r="F25" s="309" t="n">
        <x:f>'Operating Budget'!F13</x:f>
        <x:v>400</x:v>
      </x:c>
      <x:c r="G25" s="309" t="n">
        <x:f>'Operating Budget'!G13</x:f>
        <x:v>450</x:v>
      </x:c>
      <x:c r="H25" s="309" t="n">
        <x:f>'Operating Budget'!H13</x:f>
        <x:v>500</x:v>
      </x:c>
      <x:c r="I25" s="309" t="n">
        <x:f>'Operating Budget'!I13</x:f>
        <x:v>550</x:v>
      </x:c>
      <x:c r="J25" s="309" t="n">
        <x:f>'Operating Budget'!J13</x:f>
        <x:v>600</x:v>
      </x:c>
      <x:c r="K25" s="309" t="n">
        <x:f>'Operating Budget'!K13</x:f>
        <x:v>650</x:v>
      </x:c>
      <x:c r="L25" s="309" t="n">
        <x:f>'Operating Budget'!L13</x:f>
        <x:v>700</x:v>
      </x:c>
      <x:c r="M25" s="309" t="n">
        <x:f>'Operating Budget'!M13</x:f>
        <x:v>800</x:v>
      </x:c>
      <x:c r="N25" s="309" t="n">
        <x:f>SUM(B25:M25)</x:f>
        <x:v>5750</x:v>
      </x:c>
      <x:c r="O25" s="232"/>
      <x:c r="P25" s="232"/>
      <x:c r="Q25" s="232"/>
    </x:row>
    <x:row r="26">
      <x:c r="A26" s="232" t="str">
        <x:v>Human Developer / Contractor</x:v>
      </x:c>
      <x:c r="B26" s="309" t="n">
        <x:f>'Operating Budget'!B14</x:f>
        <x:v>0</x:v>
      </x:c>
      <x:c r="C26" s="309" t="n">
        <x:f>'Operating Budget'!C14</x:f>
        <x:v>0</x:v>
      </x:c>
      <x:c r="D26" s="309" t="n">
        <x:f>'Operating Budget'!D14</x:f>
        <x:v>0</x:v>
      </x:c>
      <x:c r="E26" s="309" t="n">
        <x:f>'Operating Budget'!E14</x:f>
        <x:v>0</x:v>
      </x:c>
      <x:c r="F26" s="309" t="n">
        <x:f>'Operating Budget'!F14</x:f>
        <x:v>0</x:v>
      </x:c>
      <x:c r="G26" s="309" t="n">
        <x:f>'Operating Budget'!G14</x:f>
        <x:v>0</x:v>
      </x:c>
      <x:c r="H26" s="309" t="n">
        <x:f>'Operating Budget'!H14</x:f>
        <x:v>0</x:v>
      </x:c>
      <x:c r="I26" s="309" t="n">
        <x:f>'Operating Budget'!I14</x:f>
        <x:v>0</x:v>
      </x:c>
      <x:c r="J26" s="309" t="n">
        <x:f>'Operating Budget'!J14</x:f>
        <x:v>1500</x:v>
      </x:c>
      <x:c r="K26" s="309" t="n">
        <x:f>'Operating Budget'!K14</x:f>
        <x:v>1500</x:v>
      </x:c>
      <x:c r="L26" s="309" t="n">
        <x:f>'Operating Budget'!L14</x:f>
        <x:v>1500</x:v>
      </x:c>
      <x:c r="M26" s="309" t="n">
        <x:f>'Operating Budget'!M14</x:f>
        <x:v>3000</x:v>
      </x:c>
      <x:c r="N26" s="309" t="n">
        <x:f>SUM(B26:M26)</x:f>
        <x:v>7500</x:v>
      </x:c>
      <x:c r="O26" s="232"/>
      <x:c r="P26" s="232"/>
      <x:c r="Q26" s="232"/>
    </x:row>
    <x:row r="27">
      <x:c r="A27" s="232" t="str">
        <x:v>Marketing</x:v>
      </x:c>
      <x:c r="B27" s="309" t="n">
        <x:f>'Operating Budget'!B15</x:f>
        <x:v>100</x:v>
      </x:c>
      <x:c r="C27" s="309" t="n">
        <x:f>'Operating Budget'!C15</x:f>
        <x:v>150</x:v>
      </x:c>
      <x:c r="D27" s="309" t="n">
        <x:f>'Operating Budget'!D15</x:f>
        <x:v>500</x:v>
      </x:c>
      <x:c r="E27" s="309" t="n">
        <x:f>'Operating Budget'!E15</x:f>
        <x:v>600</x:v>
      </x:c>
      <x:c r="F27" s="309" t="n">
        <x:f>'Operating Budget'!F15</x:f>
        <x:v>750</x:v>
      </x:c>
      <x:c r="G27" s="309" t="n">
        <x:f>'Operating Budget'!G15</x:f>
        <x:v>750</x:v>
      </x:c>
      <x:c r="H27" s="309" t="n">
        <x:f>'Operating Budget'!H15</x:f>
        <x:v>1000</x:v>
      </x:c>
      <x:c r="I27" s="309" t="n">
        <x:f>'Operating Budget'!I15</x:f>
        <x:v>1200</x:v>
      </x:c>
      <x:c r="J27" s="309" t="n">
        <x:f>'Operating Budget'!J15</x:f>
        <x:v>1500</x:v>
      </x:c>
      <x:c r="K27" s="309" t="n">
        <x:f>'Operating Budget'!K15</x:f>
        <x:v>2000</x:v>
      </x:c>
      <x:c r="L27" s="309" t="n">
        <x:f>'Operating Budget'!L15</x:f>
        <x:v>2500</x:v>
      </x:c>
      <x:c r="M27" s="309" t="n">
        <x:f>'Operating Budget'!M15</x:f>
        <x:v>3000</x:v>
      </x:c>
      <x:c r="N27" s="309" t="n">
        <x:f>SUM(B27:M27)</x:f>
        <x:v>14050</x:v>
      </x:c>
      <x:c r="O27" s="232"/>
      <x:c r="P27" s="232"/>
      <x:c r="Q27" s="232"/>
    </x:row>
    <x:row r="28">
      <x:c r="A28" s="232" t="str">
        <x:v>Sales &amp; Business Development</x:v>
      </x:c>
      <x:c r="B28" s="309" t="n">
        <x:f>'Operating Budget'!B16</x:f>
        <x:v>0</x:v>
      </x:c>
      <x:c r="C28" s="309" t="n">
        <x:f>'Operating Budget'!C16</x:f>
        <x:v>0</x:v>
      </x:c>
      <x:c r="D28" s="309" t="n">
        <x:f>'Operating Budget'!D16</x:f>
        <x:v>100</x:v>
      </x:c>
      <x:c r="E28" s="309" t="n">
        <x:f>'Operating Budget'!E16</x:f>
        <x:v>250</x:v>
      </x:c>
      <x:c r="F28" s="309" t="n">
        <x:f>'Operating Budget'!F16</x:f>
        <x:v>250</x:v>
      </x:c>
      <x:c r="G28" s="309" t="n">
        <x:f>'Operating Budget'!G16</x:f>
        <x:v>500</x:v>
      </x:c>
      <x:c r="H28" s="309" t="n">
        <x:f>'Operating Budget'!H16</x:f>
        <x:v>500</x:v>
      </x:c>
      <x:c r="I28" s="309" t="n">
        <x:f>'Operating Budget'!I16</x:f>
        <x:v>750</x:v>
      </x:c>
      <x:c r="J28" s="309" t="n">
        <x:f>'Operating Budget'!J16</x:f>
        <x:v>750</x:v>
      </x:c>
      <x:c r="K28" s="309" t="n">
        <x:f>'Operating Budget'!K16</x:f>
        <x:v>1000</x:v>
      </x:c>
      <x:c r="L28" s="309" t="n">
        <x:f>'Operating Budget'!L16</x:f>
        <x:v>1500</x:v>
      </x:c>
      <x:c r="M28" s="309" t="n">
        <x:f>'Operating Budget'!M16</x:f>
        <x:v>2000</x:v>
      </x:c>
      <x:c r="N28" s="309" t="n">
        <x:f>SUM(B28:M28)</x:f>
        <x:v>7600</x:v>
      </x:c>
      <x:c r="O28" s="232"/>
      <x:c r="P28" s="232"/>
      <x:c r="Q28" s="232"/>
    </x:row>
    <x:row r="29">
      <x:c r="A29" s="232" t="str">
        <x:v>Accounting &amp; Bookkeeping</x:v>
      </x:c>
      <x:c r="B29" s="309" t="n">
        <x:f>'Operating Budget'!B17</x:f>
        <x:v>0</x:v>
      </x:c>
      <x:c r="C29" s="309" t="n">
        <x:f>'Operating Budget'!C17</x:f>
        <x:v>0</x:v>
      </x:c>
      <x:c r="D29" s="309" t="n">
        <x:f>'Operating Budget'!D17</x:f>
        <x:v>100</x:v>
      </x:c>
      <x:c r="E29" s="309" t="n">
        <x:f>'Operating Budget'!E17</x:f>
        <x:v>100</x:v>
      </x:c>
      <x:c r="F29" s="309" t="n">
        <x:f>'Operating Budget'!F17</x:f>
        <x:v>150</x:v>
      </x:c>
      <x:c r="G29" s="309" t="n">
        <x:f>'Operating Budget'!G17</x:f>
        <x:v>150</x:v>
      </x:c>
      <x:c r="H29" s="309" t="n">
        <x:f>'Operating Budget'!H17</x:f>
        <x:v>200</x:v>
      </x:c>
      <x:c r="I29" s="309" t="n">
        <x:f>'Operating Budget'!I17</x:f>
        <x:v>200</x:v>
      </x:c>
      <x:c r="J29" s="309" t="n">
        <x:f>'Operating Budget'!J17</x:f>
        <x:v>250</x:v>
      </x:c>
      <x:c r="K29" s="309" t="n">
        <x:f>'Operating Budget'!K17</x:f>
        <x:v>300</x:v>
      </x:c>
      <x:c r="L29" s="309" t="n">
        <x:f>'Operating Budget'!L17</x:f>
        <x:v>300</x:v>
      </x:c>
      <x:c r="M29" s="309" t="n">
        <x:f>'Operating Budget'!M17</x:f>
        <x:v>400</x:v>
      </x:c>
      <x:c r="N29" s="309" t="n">
        <x:f>SUM(B29:M29)</x:f>
        <x:v>2150</x:v>
      </x:c>
      <x:c r="O29" s="232"/>
      <x:c r="P29" s="232"/>
      <x:c r="Q29" s="232"/>
    </x:row>
    <x:row r="30">
      <x:c r="A30" s="232" t="str">
        <x:v>Legal &amp; Compliance</x:v>
      </x:c>
      <x:c r="B30" s="309" t="n">
        <x:f>'Operating Budget'!B18</x:f>
        <x:v>750</x:v>
      </x:c>
      <x:c r="C30" s="309" t="n">
        <x:f>'Operating Budget'!C18</x:f>
        <x:v>1000</x:v>
      </x:c>
      <x:c r="D30" s="309" t="n">
        <x:f>'Operating Budget'!D18</x:f>
        <x:v>0</x:v>
      </x:c>
      <x:c r="E30" s="309" t="n">
        <x:f>'Operating Budget'!E18</x:f>
        <x:v>0</x:v>
      </x:c>
      <x:c r="F30" s="309" t="n">
        <x:f>'Operating Budget'!F18</x:f>
        <x:v>0</x:v>
      </x:c>
      <x:c r="G30" s="309" t="n">
        <x:f>'Operating Budget'!G18</x:f>
        <x:v>0</x:v>
      </x:c>
      <x:c r="H30" s="309" t="n">
        <x:f>'Operating Budget'!H18</x:f>
        <x:v>0</x:v>
      </x:c>
      <x:c r="I30" s="309" t="n">
        <x:f>'Operating Budget'!I18</x:f>
        <x:v>0</x:v>
      </x:c>
      <x:c r="J30" s="309" t="n">
        <x:f>'Operating Budget'!J18</x:f>
        <x:v>0</x:v>
      </x:c>
      <x:c r="K30" s="309" t="n">
        <x:f>'Operating Budget'!K18</x:f>
        <x:v>0</x:v>
      </x:c>
      <x:c r="L30" s="309" t="n">
        <x:f>'Operating Budget'!L18</x:f>
        <x:v>0</x:v>
      </x:c>
      <x:c r="M30" s="309" t="n">
        <x:f>'Operating Budget'!M18</x:f>
        <x:v>0</x:v>
      </x:c>
      <x:c r="N30" s="309" t="n">
        <x:f>SUM(B30:M30)</x:f>
        <x:v>1750</x:v>
      </x:c>
      <x:c r="O30" s="232"/>
      <x:c r="P30" s="232"/>
      <x:c r="Q30" s="232"/>
    </x:row>
    <x:row r="31">
      <x:c r="A31" s="232" t="str">
        <x:v>Insurance</x:v>
      </x:c>
      <x:c r="B31" s="309" t="n">
        <x:f>'Operating Budget'!B19</x:f>
        <x:v>0</x:v>
      </x:c>
      <x:c r="C31" s="309" t="n">
        <x:f>'Operating Budget'!C19</x:f>
        <x:v>0</x:v>
      </x:c>
      <x:c r="D31" s="309" t="n">
        <x:f>'Operating Budget'!D19</x:f>
        <x:v>1200</x:v>
      </x:c>
      <x:c r="E31" s="309" t="n">
        <x:f>'Operating Budget'!E19</x:f>
        <x:v>0</x:v>
      </x:c>
      <x:c r="F31" s="309" t="n">
        <x:f>'Operating Budget'!F19</x:f>
        <x:v>0</x:v>
      </x:c>
      <x:c r="G31" s="309" t="n">
        <x:f>'Operating Budget'!G19</x:f>
        <x:v>0</x:v>
      </x:c>
      <x:c r="H31" s="309" t="n">
        <x:f>'Operating Budget'!H19</x:f>
        <x:v>0</x:v>
      </x:c>
      <x:c r="I31" s="309" t="n">
        <x:f>'Operating Budget'!I19</x:f>
        <x:v>0</x:v>
      </x:c>
      <x:c r="J31" s="309" t="n">
        <x:f>'Operating Budget'!J19</x:f>
        <x:v>0</x:v>
      </x:c>
      <x:c r="K31" s="309" t="n">
        <x:f>'Operating Budget'!K19</x:f>
        <x:v>0</x:v>
      </x:c>
      <x:c r="L31" s="309" t="n">
        <x:f>'Operating Budget'!L19</x:f>
        <x:v>0</x:v>
      </x:c>
      <x:c r="M31" s="309" t="n">
        <x:f>'Operating Budget'!M19</x:f>
        <x:v>0</x:v>
      </x:c>
      <x:c r="N31" s="309" t="n">
        <x:f>SUM(B31:M31)</x:f>
        <x:v>1200</x:v>
      </x:c>
      <x:c r="O31" s="232"/>
      <x:c r="P31" s="232"/>
      <x:c r="Q31" s="232"/>
    </x:row>
    <x:row r="32">
      <x:c r="A32" s="232" t="str">
        <x:v>Domain, Apple &amp; Licenses</x:v>
      </x:c>
      <x:c r="B32" s="309" t="n">
        <x:f>'Operating Budget'!B20</x:f>
        <x:v>189</x:v>
      </x:c>
      <x:c r="C32" s="309" t="n">
        <x:f>'Operating Budget'!C20</x:f>
        <x:v>0</x:v>
      </x:c>
      <x:c r="D32" s="309" t="n">
        <x:f>'Operating Budget'!D20</x:f>
        <x:v>0</x:v>
      </x:c>
      <x:c r="E32" s="309" t="n">
        <x:f>'Operating Budget'!E20</x:f>
        <x:v>0</x:v>
      </x:c>
      <x:c r="F32" s="309" t="n">
        <x:f>'Operating Budget'!F20</x:f>
        <x:v>0</x:v>
      </x:c>
      <x:c r="G32" s="309" t="n">
        <x:f>'Operating Budget'!G20</x:f>
        <x:v>0</x:v>
      </x:c>
      <x:c r="H32" s="309" t="n">
        <x:f>'Operating Budget'!H20</x:f>
        <x:v>0</x:v>
      </x:c>
      <x:c r="I32" s="309" t="n">
        <x:f>'Operating Budget'!I20</x:f>
        <x:v>0</x:v>
      </x:c>
      <x:c r="J32" s="309" t="n">
        <x:f>'Operating Budget'!J20</x:f>
        <x:v>0</x:v>
      </x:c>
      <x:c r="K32" s="309" t="n">
        <x:f>'Operating Budget'!K20</x:f>
        <x:v>0</x:v>
      </x:c>
      <x:c r="L32" s="309" t="n">
        <x:f>'Operating Budget'!L20</x:f>
        <x:v>0</x:v>
      </x:c>
      <x:c r="M32" s="309" t="n">
        <x:f>'Operating Budget'!M20</x:f>
        <x:v>0</x:v>
      </x:c>
      <x:c r="N32" s="309" t="n">
        <x:f>SUM(B32:M32)</x:f>
        <x:v>189</x:v>
      </x:c>
      <x:c r="O32" s="232"/>
      <x:c r="P32" s="232"/>
      <x:c r="Q32" s="232"/>
    </x:row>
    <x:row r="33">
      <x:c r="A33" s="232" t="str">
        <x:v>General Admin Software</x:v>
      </x:c>
      <x:c r="B33" s="309" t="n">
        <x:f>'Operating Budget'!B21</x:f>
        <x:v>50</x:v>
      </x:c>
      <x:c r="C33" s="309" t="n">
        <x:f>'Operating Budget'!C21</x:f>
        <x:v>75</x:v>
      </x:c>
      <x:c r="D33" s="309" t="n">
        <x:f>'Operating Budget'!D21</x:f>
        <x:v>100</x:v>
      </x:c>
      <x:c r="E33" s="309" t="n">
        <x:f>'Operating Budget'!E21</x:f>
        <x:v>125</x:v>
      </x:c>
      <x:c r="F33" s="309" t="n">
        <x:f>'Operating Budget'!F21</x:f>
        <x:v>150</x:v>
      </x:c>
      <x:c r="G33" s="309" t="n">
        <x:f>'Operating Budget'!G21</x:f>
        <x:v>175</x:v>
      </x:c>
      <x:c r="H33" s="309" t="n">
        <x:f>'Operating Budget'!H21</x:f>
        <x:v>200</x:v>
      </x:c>
      <x:c r="I33" s="309" t="n">
        <x:f>'Operating Budget'!I21</x:f>
        <x:v>225</x:v>
      </x:c>
      <x:c r="J33" s="309" t="n">
        <x:f>'Operating Budget'!J21</x:f>
        <x:v>250</x:v>
      </x:c>
      <x:c r="K33" s="309" t="n">
        <x:f>'Operating Budget'!K21</x:f>
        <x:v>275</x:v>
      </x:c>
      <x:c r="L33" s="309" t="n">
        <x:f>'Operating Budget'!L21</x:f>
        <x:v>300</x:v>
      </x:c>
      <x:c r="M33" s="309" t="n">
        <x:f>'Operating Budget'!M21</x:f>
        <x:v>350</x:v>
      </x:c>
      <x:c r="N33" s="309" t="n">
        <x:f>SUM(B33:M33)</x:f>
        <x:v>2275</x:v>
      </x:c>
      <x:c r="O33" s="232"/>
      <x:c r="P33" s="232"/>
      <x:c r="Q33" s="232"/>
    </x:row>
    <x:row r="34">
      <x:c r="A34" s="232" t="str">
        <x:v>Travel &amp; Events</x:v>
      </x:c>
      <x:c r="B34" s="309" t="n">
        <x:f>'Operating Budget'!B22</x:f>
        <x:v>0</x:v>
      </x:c>
      <x:c r="C34" s="309" t="n">
        <x:f>'Operating Budget'!C22</x:f>
        <x:v>0</x:v>
      </x:c>
      <x:c r="D34" s="309" t="n">
        <x:f>'Operating Budget'!D22</x:f>
        <x:v>0</x:v>
      </x:c>
      <x:c r="E34" s="309" t="n">
        <x:f>'Operating Budget'!E22</x:f>
        <x:v>0</x:v>
      </x:c>
      <x:c r="F34" s="309" t="n">
        <x:f>'Operating Budget'!F22</x:f>
        <x:v>0</x:v>
      </x:c>
      <x:c r="G34" s="309" t="n">
        <x:f>'Operating Budget'!G22</x:f>
        <x:v>0</x:v>
      </x:c>
      <x:c r="H34" s="309" t="n">
        <x:f>'Operating Budget'!H22</x:f>
        <x:v>0</x:v>
      </x:c>
      <x:c r="I34" s="309" t="n">
        <x:f>'Operating Budget'!I22</x:f>
        <x:v>0</x:v>
      </x:c>
      <x:c r="J34" s="309" t="n">
        <x:f>'Operating Budget'!J22</x:f>
        <x:v>0</x:v>
      </x:c>
      <x:c r="K34" s="309" t="n">
        <x:f>'Operating Budget'!K22</x:f>
        <x:v>0</x:v>
      </x:c>
      <x:c r="L34" s="309" t="n">
        <x:f>'Operating Budget'!L22</x:f>
        <x:v>2500</x:v>
      </x:c>
      <x:c r="M34" s="309" t="n">
        <x:f>'Operating Budget'!M22</x:f>
        <x:v>0</x:v>
      </x:c>
      <x:c r="N34" s="309" t="n">
        <x:f>SUM(B34:M34)</x:f>
        <x:v>2500</x:v>
      </x:c>
      <x:c r="O34" s="232"/>
      <x:c r="P34" s="232"/>
      <x:c r="Q34" s="232"/>
    </x:row>
    <x:row r="35">
      <x:c r="A35" s="232" t="str">
        <x:v>Contingency</x:v>
      </x:c>
      <x:c r="B35" s="309" t="n">
        <x:f>'Operating Budget'!B23</x:f>
        <x:v>250</x:v>
      </x:c>
      <x:c r="C35" s="309" t="n">
        <x:f>'Operating Budget'!C23</x:f>
        <x:v>250</x:v>
      </x:c>
      <x:c r="D35" s="309" t="n">
        <x:f>'Operating Budget'!D23</x:f>
        <x:v>250</x:v>
      </x:c>
      <x:c r="E35" s="309" t="n">
        <x:f>'Operating Budget'!E23</x:f>
        <x:v>250</x:v>
      </x:c>
      <x:c r="F35" s="309" t="n">
        <x:f>'Operating Budget'!F23</x:f>
        <x:v>250</x:v>
      </x:c>
      <x:c r="G35" s="309" t="n">
        <x:f>'Operating Budget'!G23</x:f>
        <x:v>250</x:v>
      </x:c>
      <x:c r="H35" s="309" t="n">
        <x:f>'Operating Budget'!H23</x:f>
        <x:v>250</x:v>
      </x:c>
      <x:c r="I35" s="309" t="n">
        <x:f>'Operating Budget'!I23</x:f>
        <x:v>250</x:v>
      </x:c>
      <x:c r="J35" s="309" t="n">
        <x:f>'Operating Budget'!J23</x:f>
        <x:v>250</x:v>
      </x:c>
      <x:c r="K35" s="309" t="n">
        <x:f>'Operating Budget'!K23</x:f>
        <x:v>250</x:v>
      </x:c>
      <x:c r="L35" s="309" t="n">
        <x:f>'Operating Budget'!L23</x:f>
        <x:v>250</x:v>
      </x:c>
      <x:c r="M35" s="309" t="n">
        <x:f>'Operating Budget'!M23</x:f>
        <x:v>250</x:v>
      </x:c>
      <x:c r="N35" s="309" t="n">
        <x:f>SUM(B35:M35)</x:f>
        <x:v>3000</x:v>
      </x:c>
      <x:c r="O35" s="232"/>
      <x:c r="P35" s="232"/>
      <x:c r="Q35" s="232"/>
    </x:row>
    <x:row r="36">
      <x:c r="A36" s="232" t="str">
        <x:v>Founder Compensation</x:v>
      </x:c>
      <x:c r="B36" s="309" t="n">
        <x:f>'Operating Budget'!B24</x:f>
        <x:v>0</x:v>
      </x:c>
      <x:c r="C36" s="309" t="n">
        <x:f>'Operating Budget'!C24</x:f>
        <x:v>0</x:v>
      </x:c>
      <x:c r="D36" s="309" t="n">
        <x:f>'Operating Budget'!D24</x:f>
        <x:v>0</x:v>
      </x:c>
      <x:c r="E36" s="309" t="n">
        <x:f>'Operating Budget'!E24</x:f>
        <x:v>0</x:v>
      </x:c>
      <x:c r="F36" s="309" t="n">
        <x:f>'Operating Budget'!F24</x:f>
        <x:v>0</x:v>
      </x:c>
      <x:c r="G36" s="309" t="n">
        <x:f>'Operating Budget'!G24</x:f>
        <x:v>0</x:v>
      </x:c>
      <x:c r="H36" s="309" t="n">
        <x:f>'Operating Budget'!H24</x:f>
        <x:v>0</x:v>
      </x:c>
      <x:c r="I36" s="309" t="n">
        <x:f>'Operating Budget'!I24</x:f>
        <x:v>0</x:v>
      </x:c>
      <x:c r="J36" s="309" t="n">
        <x:f>'Operating Budget'!J24</x:f>
        <x:v>0</x:v>
      </x:c>
      <x:c r="K36" s="309" t="n">
        <x:f>'Operating Budget'!K24</x:f>
        <x:v>0</x:v>
      </x:c>
      <x:c r="L36" s="309" t="n">
        <x:f>'Operating Budget'!L24</x:f>
        <x:v>0</x:v>
      </x:c>
      <x:c r="M36" s="309" t="n">
        <x:f>'Operating Budget'!M24</x:f>
        <x:v>0</x:v>
      </x:c>
      <x:c r="N36" s="309" t="n">
        <x:f>SUM(B36:M36)</x:f>
        <x:v>0</x:v>
      </x:c>
      <x:c r="O36" s="232"/>
      <x:c r="P36" s="232"/>
      <x:c r="Q36" s="232"/>
    </x:row>
    <x:row r="37">
      <x:c r="A37" s="291" t="str">
        <x:v>Total Operating Expenses</x:v>
      </x:c>
      <x:c r="B37" s="350" t="n">
        <x:f>SUM(B25:B36)</x:f>
        <x:v>1539</x:v>
      </x:c>
      <x:c r="C37" s="350" t="n">
        <x:f>SUM(C25:C36)</x:f>
        <x:v>1725</x:v>
      </x:c>
      <x:c r="D37" s="350" t="n">
        <x:f>SUM(D25:D36)</x:f>
        <x:v>2550</x:v>
      </x:c>
      <x:c r="E37" s="350" t="n">
        <x:f>SUM(E25:E36)</x:f>
        <x:v>1675</x:v>
      </x:c>
      <x:c r="F37" s="350" t="n">
        <x:f>SUM(F25:F36)</x:f>
        <x:v>1950</x:v>
      </x:c>
      <x:c r="G37" s="350" t="n">
        <x:f>SUM(G25:G36)</x:f>
        <x:v>2275</x:v>
      </x:c>
      <x:c r="H37" s="350" t="n">
        <x:f>SUM(H25:H36)</x:f>
        <x:v>2650</x:v>
      </x:c>
      <x:c r="I37" s="350" t="n">
        <x:f>SUM(I25:I36)</x:f>
        <x:v>3175</x:v>
      </x:c>
      <x:c r="J37" s="350" t="n">
        <x:f>SUM(J25:J36)</x:f>
        <x:v>5100</x:v>
      </x:c>
      <x:c r="K37" s="350" t="n">
        <x:f>SUM(K25:K36)</x:f>
        <x:v>5975</x:v>
      </x:c>
      <x:c r="L37" s="350" t="n">
        <x:f>SUM(L25:L36)</x:f>
        <x:v>9550</x:v>
      </x:c>
      <x:c r="M37" s="350" t="n">
        <x:f>SUM(M25:M36)</x:f>
        <x:v>9800</x:v>
      </x:c>
      <x:c r="N37" s="350" t="n">
        <x:f>SUM(B37:M37)</x:f>
        <x:v>47964</x:v>
      </x:c>
      <x:c r="O37" s="232"/>
      <x:c r="P37" s="232"/>
      <x:c r="Q37" s="232"/>
    </x:row>
    <x:row r="38">
      <x:c r="A38" s="232"/>
      <x:c r="B38" s="351"/>
      <x:c r="C38" s="351"/>
      <x:c r="D38" s="351"/>
      <x:c r="E38" s="351"/>
      <x:c r="F38" s="351"/>
      <x:c r="G38" s="351"/>
      <x:c r="H38" s="351"/>
      <x:c r="I38" s="351"/>
      <x:c r="J38" s="351"/>
      <x:c r="K38" s="351"/>
      <x:c r="L38" s="351"/>
      <x:c r="M38" s="351"/>
      <x:c r="N38" s="351"/>
      <x:c r="O38" s="232"/>
      <x:c r="P38" s="232"/>
      <x:c r="Q38" s="232"/>
    </x:row>
    <x:row r="39">
      <x:c r="A39" s="355" t="str">
        <x:v>EBITDA / Operating Profit (Loss)</x:v>
      </x:c>
      <x:c r="B39" s="356" t="n">
        <x:f>B21-B37</x:f>
        <x:v>-1589</x:v>
      </x:c>
      <x:c r="C39" s="356" t="n">
        <x:f>C21-C37</x:f>
        <x:v>-1775</x:v>
      </x:c>
      <x:c r="D39" s="356" t="n">
        <x:f>D21-D37</x:f>
        <x:v>-2037.7359999999999</x:v>
      </x:c>
      <x:c r="E39" s="356" t="n">
        <x:f>E21-E37</x:f>
        <x:v>-295.13599999999997</x:v>
      </x:c>
      <x:c r="F39" s="356" t="n">
        <x:f>F21-F37</x:f>
        <x:v>146.13920000000007</x:v>
      </x:c>
      <x:c r="G39" s="356" t="n">
        <x:f>G21-G37</x:f>
        <x:v>1151.0032</x:v>
      </x:c>
      <x:c r="H39" s="356" t="n">
        <x:f>H21-H37</x:f>
        <x:v>2485.8832</x:v>
      </x:c>
      <x:c r="I39" s="356" t="n">
        <x:f>I21-I37</x:f>
        <x:v>3446.6031999999996</x:v>
      </x:c>
      <x:c r="J39" s="356" t="n">
        <x:f>J21-J37</x:f>
        <x:v>3618.8048</x:v>
      </x:c>
      <x:c r="K39" s="356" t="n">
        <x:f>K21-K37</x:f>
        <x:v>5851.0671999999995</x:v>
      </x:c>
      <x:c r="L39" s="356" t="n">
        <x:f>L21-L37</x:f>
        <x:v>5744.8112</x:v>
      </x:c>
      <x:c r="M39" s="356" t="n">
        <x:f>M21-M37</x:f>
        <x:v>10023.883999999998</x:v>
      </x:c>
      <x:c r="N39" s="356" t="n">
        <x:f>N21-N37</x:f>
        <x:v>26771.323999999993</x:v>
      </x:c>
      <x:c r="O39" s="232"/>
      <x:c r="P39" s="232"/>
      <x:c r="Q39" s="232"/>
    </x:row>
    <x:row r="40">
      <x:c r="A40" s="232" t="str">
        <x:v>EBITDA Margin %</x:v>
      </x:c>
      <x:c r="B40" s="354" t="n">
        <x:f>IFERROR(B39/B11,0)</x:f>
        <x:v>0</x:v>
      </x:c>
      <x:c r="C40" s="354" t="n">
        <x:f>IFERROR(C39/C11,0)</x:f>
        <x:v>0</x:v>
      </x:c>
      <x:c r="D40" s="354" t="n">
        <x:f>IFERROR(D39/D11,0)</x:f>
        <x:v>-2.870050704225352</x:v>
      </x:c>
      <x:c r="E40" s="354" t="n">
        <x:f>IFERROR(E39/E11,0)</x:f>
        <x:v>-0.1725941520467836</x:v>
      </x:c>
      <x:c r="F40" s="354" t="n">
        <x:f>IFERROR(F39/F11,0)</x:f>
        <x:v>0.057580457052797504</x:v>
      </x:c>
      <x:c r="G40" s="354" t="n">
        <x:f>IFERROR(G39/G11,0)</x:f>
        <x:v>0.27095178907721285</x:v>
      </x:c>
      <x:c r="H40" s="354" t="n">
        <x:f>IFERROR(H39/H11,0)</x:f>
        <x:v>0.39755048776587243</x:v>
      </x:c>
      <x:c r="I40" s="354" t="n">
        <x:f>IFERROR(I39/I11,0)</x:f>
        <x:v>0.4029700923652519</x:v>
      </x:c>
      <x:c r="J40" s="354" t="n">
        <x:f>IFERROR(J39/J11,0)</x:f>
        <x:v>0.32118618975769947</x:v>
      </x:c>
      <x:c r="K40" s="354" t="n">
        <x:f>IFERROR(K39/K11,0)</x:f>
        <x:v>0.39366663526878826</x:v>
      </x:c>
      <x:c r="L40" s="354" t="n">
        <x:f>IFERROR(L39/L11,0)</x:f>
        <x:v>0.30439311185291157</x:v>
      </x:c>
      <x:c r="M40" s="354" t="n">
        <x:f>IFERROR(M39/M11,0)</x:f>
        <x:v>0.3921707355242566</x:v>
      </x:c>
      <x:c r="N40" s="354" t="n">
        <x:f>IFERROR(N39/N11,0)</x:f>
        <x:v>0.28306977531059996</x:v>
      </x:c>
      <x:c r="O40" s="232"/>
      <x:c r="P40" s="232"/>
      <x:c r="Q40" s="232"/>
    </x:row>
    <x:row r="41">
      <x:c r="A41" s="232" t="str">
        <x:v>Positive EBITDA Flag</x:v>
      </x:c>
      <x:c r="B41" s="357" t="n">
        <x:f>IF(B39&gt;=0,1,0)</x:f>
        <x:v>0</x:v>
      </x:c>
      <x:c r="C41" s="357" t="n">
        <x:f>IF(C39&gt;=0,1,0)</x:f>
        <x:v>0</x:v>
      </x:c>
      <x:c r="D41" s="357" t="n">
        <x:f>IF(D39&gt;=0,1,0)</x:f>
        <x:v>0</x:v>
      </x:c>
      <x:c r="E41" s="357" t="n">
        <x:f>IF(E39&gt;=0,1,0)</x:f>
        <x:v>0</x:v>
      </x:c>
      <x:c r="F41" s="357" t="n">
        <x:f>IF(F39&gt;=0,1,0)</x:f>
        <x:v>1</x:v>
      </x:c>
      <x:c r="G41" s="357" t="n">
        <x:f>IF(G39&gt;=0,1,0)</x:f>
        <x:v>1</x:v>
      </x:c>
      <x:c r="H41" s="357" t="n">
        <x:f>IF(H39&gt;=0,1,0)</x:f>
        <x:v>1</x:v>
      </x:c>
      <x:c r="I41" s="357" t="n">
        <x:f>IF(I39&gt;=0,1,0)</x:f>
        <x:v>1</x:v>
      </x:c>
      <x:c r="J41" s="357" t="n">
        <x:f>IF(J39&gt;=0,1,0)</x:f>
        <x:v>1</x:v>
      </x:c>
      <x:c r="K41" s="357" t="n">
        <x:f>IF(K39&gt;=0,1,0)</x:f>
        <x:v>1</x:v>
      </x:c>
      <x:c r="L41" s="357" t="n">
        <x:f>IF(L39&gt;=0,1,0)</x:f>
        <x:v>1</x:v>
      </x:c>
      <x:c r="M41" s="357" t="n">
        <x:f>IF(M39&gt;=0,1,0)</x:f>
        <x:v>1</x:v>
      </x:c>
      <x:c r="N41" s="357" t="n">
        <x:f>SUM(B41:M41)</x:f>
        <x:v>8</x:v>
      </x:c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N1"/>
    <x:mergeCell ref="A2:N2"/>
    <x:mergeCell ref="A6:N6"/>
    <x:mergeCell ref="A13:N13"/>
    <x:mergeCell ref="A24:N24"/>
  </x:mergeCells>
  <x:conditionalFormatting sqref="A39:N39">
    <x:cfRule type="expression" dxfId="0" priority="1">
      <x:formula>B39&lt;0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8" t="str">
        <x:v>Bobert — Projected Cash Flow and Capital Need</x:v>
      </x:c>
      <x:c r="B1" s="418"/>
      <x:c r="C1" s="418"/>
      <x:c r="D1" s="418"/>
      <x:c r="E1" s="418"/>
      <x:c r="F1" s="418"/>
      <x:c r="G1" s="418"/>
      <x:c r="H1" s="418"/>
      <x:c r="I1" s="418"/>
      <x:c r="J1" s="418"/>
      <x:c r="K1" s="418"/>
      <x:c r="L1" s="418"/>
      <x:c r="M1" s="418"/>
      <x:c r="N1" s="418"/>
      <x:c r="O1" s="232"/>
      <x:c r="P1" s="232"/>
      <x:c r="Q1" s="232"/>
    </x:row>
    <x:row r="2">
      <x:c r="A2" s="232"/>
      <x:c r="B2" s="232"/>
      <x:c r="C2" s="232"/>
      <x:c r="D2" s="232"/>
      <x:c r="E2" s="232"/>
      <x:c r="F2" s="232"/>
      <x:c r="G2" s="232"/>
      <x:c r="H2" s="232"/>
      <x:c r="I2" s="232"/>
      <x:c r="J2" s="232"/>
      <x:c r="K2" s="232"/>
      <x:c r="L2" s="232"/>
      <x:c r="M2" s="232"/>
      <x:c r="N2" s="232"/>
      <x:c r="O2" s="232"/>
      <x:c r="P2" s="232"/>
      <x:c r="Q2" s="232"/>
    </x:row>
    <x:row r="3">
      <x:c r="A3" s="233" t="str">
        <x:v>Cash plan assumes monthly revenue collection and no debt. Add founder capital contributions in blue cells if needed.</x:v>
      </x:c>
      <x:c r="B3" s="233"/>
      <x:c r="C3" s="233"/>
      <x:c r="D3" s="233"/>
      <x:c r="E3" s="233"/>
      <x:c r="F3" s="233"/>
      <x:c r="G3" s="233"/>
      <x:c r="H3" s="233"/>
      <x:c r="I3" s="233"/>
      <x:c r="J3" s="233"/>
      <x:c r="K3" s="233"/>
      <x:c r="L3" s="233"/>
      <x:c r="M3" s="233"/>
      <x:c r="N3" s="233"/>
      <x:c r="O3" s="232"/>
      <x:c r="P3" s="232"/>
      <x:c r="Q3" s="232"/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Cash Flow Item</x:v>
      </x:c>
      <x:c r="B5" s="269" t="n">
        <x:v>46235</x:v>
      </x:c>
      <x:c r="C5" s="269" t="n">
        <x:v>46266</x:v>
      </x:c>
      <x:c r="D5" s="269" t="n">
        <x:v>46296</x:v>
      </x:c>
      <x:c r="E5" s="269" t="n">
        <x:v>46327</x:v>
      </x:c>
      <x:c r="F5" s="269" t="n">
        <x:v>46357</x:v>
      </x:c>
      <x:c r="G5" s="269" t="n">
        <x:v>46388</x:v>
      </x:c>
      <x:c r="H5" s="269" t="n">
        <x:v>46419</x:v>
      </x:c>
      <x:c r="I5" s="269" t="n">
        <x:v>46447</x:v>
      </x:c>
      <x:c r="J5" s="269" t="n">
        <x:v>46478</x:v>
      </x:c>
      <x:c r="K5" s="269" t="n">
        <x:v>46508</x:v>
      </x:c>
      <x:c r="L5" s="269" t="n">
        <x:v>46539</x:v>
      </x:c>
      <x:c r="M5" s="269" t="n">
        <x:v>46569</x:v>
      </x:c>
      <x:c r="N5" s="197" t="str">
        <x:v>FY / Maximum</x:v>
      </x:c>
      <x:c r="O5" s="232"/>
      <x:c r="P5" s="232"/>
      <x:c r="Q5" s="232"/>
    </x:row>
    <x:row r="6">
      <x:c r="A6" s="232" t="str">
        <x:v>Beginning Cash</x:v>
      </x:c>
      <x:c r="B6" s="309" t="n">
        <x:f>'Assumptions'!$B$9</x:f>
        <x:v>5000</x:v>
      </x:c>
      <x:c r="C6" s="309" t="n">
        <x:f>B11</x:f>
        <x:v>3411</x:v>
      </x:c>
      <x:c r="D6" s="309" t="n">
        <x:f>C11</x:f>
        <x:v>1636</x:v>
      </x:c>
      <x:c r="E6" s="309" t="n">
        <x:f>D11</x:f>
        <x:v>-401.7359999999999</x:v>
      </x:c>
      <x:c r="F6" s="309" t="n">
        <x:f>E11</x:f>
        <x:v>-696.8719999999998</x:v>
      </x:c>
      <x:c r="G6" s="309" t="n">
        <x:f>F11</x:f>
        <x:v>-550.7327999999998</x:v>
      </x:c>
      <x:c r="H6" s="309" t="n">
        <x:f>G11</x:f>
        <x:v>600.2704000000003</x:v>
      </x:c>
      <x:c r="I6" s="309" t="n">
        <x:f>H11</x:f>
        <x:v>3086.1536</x:v>
      </x:c>
      <x:c r="J6" s="309" t="n">
        <x:f>I11</x:f>
        <x:v>6532.756799999999</x:v>
      </x:c>
      <x:c r="K6" s="309" t="n">
        <x:f>J11</x:f>
        <x:v>10151.561599999999</x:v>
      </x:c>
      <x:c r="L6" s="309" t="n">
        <x:f>K11</x:f>
        <x:v>16002.628799999999</x:v>
      </x:c>
      <x:c r="M6" s="309" t="n">
        <x:f>L11</x:f>
        <x:v>21747.44</x:v>
      </x:c>
      <x:c r="N6" s="351" t="n">
        <x:f>B6</x:f>
        <x:v>5000</x:v>
      </x:c>
      <x:c r="O6" s="232"/>
      <x:c r="P6" s="232"/>
      <x:c r="Q6" s="232"/>
    </x:row>
    <x:row r="7">
      <x:c r="A7" s="232" t="str">
        <x:v>Founder Capital Contributions</x:v>
      </x:c>
      <x:c r="B7" s="372" t="n">
        <x:v>0</x:v>
      </x:c>
      <x:c r="C7" s="372" t="n">
        <x:v>0</x:v>
      </x:c>
      <x:c r="D7" s="372" t="n">
        <x:v>0</x:v>
      </x:c>
      <x:c r="E7" s="372" t="n">
        <x:v>0</x:v>
      </x:c>
      <x:c r="F7" s="372" t="n">
        <x:v>0</x:v>
      </x:c>
      <x:c r="G7" s="372" t="n">
        <x:v>0</x:v>
      </x:c>
      <x:c r="H7" s="372" t="n">
        <x:v>0</x:v>
      </x:c>
      <x:c r="I7" s="372" t="n">
        <x:v>0</x:v>
      </x:c>
      <x:c r="J7" s="372" t="n">
        <x:v>0</x:v>
      </x:c>
      <x:c r="K7" s="372" t="n">
        <x:v>0</x:v>
      </x:c>
      <x:c r="L7" s="372" t="n">
        <x:v>0</x:v>
      </x:c>
      <x:c r="M7" s="372" t="n">
        <x:v>0</x:v>
      </x:c>
      <x:c r="N7" s="351" t="n">
        <x:f>SUM(B7:M7)</x:f>
        <x:v>0</x:v>
      </x:c>
      <x:c r="O7" s="232"/>
      <x:c r="P7" s="232"/>
      <x:c r="Q7" s="232"/>
    </x:row>
    <x:row r="8">
      <x:c r="A8" s="232" t="str">
        <x:v>Cash Receipts from Customers</x:v>
      </x:c>
      <x:c r="B8" s="309" t="n">
        <x:f>'Projected P&amp;L'!B11</x:f>
        <x:v>0</x:v>
      </x:c>
      <x:c r="C8" s="309" t="n">
        <x:f>'Projected P&amp;L'!C11</x:f>
        <x:v>0</x:v>
      </x:c>
      <x:c r="D8" s="309" t="n">
        <x:f>'Projected P&amp;L'!D11</x:f>
        <x:v>710</x:v>
      </x:c>
      <x:c r="E8" s="309" t="n">
        <x:f>'Projected P&amp;L'!E11</x:f>
        <x:v>1710</x:v>
      </x:c>
      <x:c r="F8" s="309" t="n">
        <x:f>'Projected P&amp;L'!F11</x:f>
        <x:v>2538</x:v>
      </x:c>
      <x:c r="G8" s="309" t="n">
        <x:f>'Projected P&amp;L'!G11</x:f>
        <x:v>4248</x:v>
      </x:c>
      <x:c r="H8" s="309" t="n">
        <x:f>'Projected P&amp;L'!H11</x:f>
        <x:v>6253</x:v>
      </x:c>
      <x:c r="I8" s="309" t="n">
        <x:f>'Projected P&amp;L'!I11</x:f>
        <x:v>8553</x:v>
      </x:c>
      <x:c r="J8" s="309" t="n">
        <x:f>'Projected P&amp;L'!J11</x:f>
        <x:v>11267</x:v>
      </x:c>
      <x:c r="K8" s="309" t="n">
        <x:f>'Projected P&amp;L'!K11</x:f>
        <x:v>14863</x:v>
      </x:c>
      <x:c r="L8" s="309" t="n">
        <x:f>'Projected P&amp;L'!L11</x:f>
        <x:v>18873</x:v>
      </x:c>
      <x:c r="M8" s="309" t="n">
        <x:f>'Projected P&amp;L'!M11</x:f>
        <x:v>25560</x:v>
      </x:c>
      <x:c r="N8" s="351" t="n">
        <x:f>SUM(B8:M8)</x:f>
        <x:v>94575</x:v>
      </x:c>
      <x:c r="O8" s="232"/>
      <x:c r="P8" s="232"/>
      <x:c r="Q8" s="232"/>
    </x:row>
    <x:row r="9">
      <x:c r="A9" s="232" t="str">
        <x:v>Cash Disbursements</x:v>
      </x:c>
      <x:c r="B9" s="309" t="n">
        <x:f>'Projected P&amp;L'!B20+'Projected P&amp;L'!B37</x:f>
        <x:v>1589</x:v>
      </x:c>
      <x:c r="C9" s="309" t="n">
        <x:f>'Projected P&amp;L'!C20+'Projected P&amp;L'!C37</x:f>
        <x:v>1775</x:v>
      </x:c>
      <x:c r="D9" s="309" t="n">
        <x:f>'Projected P&amp;L'!D20+'Projected P&amp;L'!D37</x:f>
        <x:v>2747.736</x:v>
      </x:c>
      <x:c r="E9" s="309" t="n">
        <x:f>'Projected P&amp;L'!E20+'Projected P&amp;L'!E37</x:f>
        <x:v>2005.136</x:v>
      </x:c>
      <x:c r="F9" s="309" t="n">
        <x:f>'Projected P&amp;L'!F20+'Projected P&amp;L'!F37</x:f>
        <x:v>2391.8608</x:v>
      </x:c>
      <x:c r="G9" s="309" t="n">
        <x:f>'Projected P&amp;L'!G20+'Projected P&amp;L'!G37</x:f>
        <x:v>3096.9968</x:v>
      </x:c>
      <x:c r="H9" s="309" t="n">
        <x:f>'Projected P&amp;L'!H20+'Projected P&amp;L'!H37</x:f>
        <x:v>3767.1168000000002</x:v>
      </x:c>
      <x:c r="I9" s="309" t="n">
        <x:f>'Projected P&amp;L'!I20+'Projected P&amp;L'!I37</x:f>
        <x:v>5106.3968</x:v>
      </x:c>
      <x:c r="J9" s="309" t="n">
        <x:f>'Projected P&amp;L'!J20+'Projected P&amp;L'!J37</x:f>
        <x:v>7648.1952</x:v>
      </x:c>
      <x:c r="K9" s="309" t="n">
        <x:f>'Projected P&amp;L'!K20+'Projected P&amp;L'!K37</x:f>
        <x:v>9011.9328</x:v>
      </x:c>
      <x:c r="L9" s="309" t="n">
        <x:f>'Projected P&amp;L'!L20+'Projected P&amp;L'!L37</x:f>
        <x:v>13128.1888</x:v>
      </x:c>
      <x:c r="M9" s="309" t="n">
        <x:f>'Projected P&amp;L'!M20+'Projected P&amp;L'!M37</x:f>
        <x:v>15536.116</x:v>
      </x:c>
      <x:c r="N9" s="351" t="n">
        <x:f>SUM(B9:M9)</x:f>
        <x:v>67803.67599999999</x:v>
      </x:c>
      <x:c r="O9" s="232"/>
      <x:c r="P9" s="232"/>
      <x:c r="Q9" s="232"/>
    </x:row>
    <x:row r="10">
      <x:c r="A10" s="291" t="str">
        <x:v>Net Cash Flow</x:v>
      </x:c>
      <x:c r="B10" s="310" t="n">
        <x:f>B7+B8-B9</x:f>
        <x:v>-1589</x:v>
      </x:c>
      <x:c r="C10" s="310" t="n">
        <x:f>C7+C8-C9</x:f>
        <x:v>-1775</x:v>
      </x:c>
      <x:c r="D10" s="310" t="n">
        <x:f>D7+D8-D9</x:f>
        <x:v>-2037.7359999999999</x:v>
      </x:c>
      <x:c r="E10" s="310" t="n">
        <x:f>E7+E8-E9</x:f>
        <x:v>-295.13599999999997</x:v>
      </x:c>
      <x:c r="F10" s="310" t="n">
        <x:f>F7+F8-F9</x:f>
        <x:v>146.13920000000007</x:v>
      </x:c>
      <x:c r="G10" s="310" t="n">
        <x:f>G7+G8-G9</x:f>
        <x:v>1151.0032</x:v>
      </x:c>
      <x:c r="H10" s="310" t="n">
        <x:f>H7+H8-H9</x:f>
        <x:v>2485.8831999999998</x:v>
      </x:c>
      <x:c r="I10" s="310" t="n">
        <x:f>I7+I8-I9</x:f>
        <x:v>3446.6031999999996</x:v>
      </x:c>
      <x:c r="J10" s="310" t="n">
        <x:f>J7+J8-J9</x:f>
        <x:v>3618.8048</x:v>
      </x:c>
      <x:c r="K10" s="310" t="n">
        <x:f>K7+K8-K9</x:f>
        <x:v>5851.0671999999995</x:v>
      </x:c>
      <x:c r="L10" s="310" t="n">
        <x:f>L7+L8-L9</x:f>
        <x:v>5744.8112</x:v>
      </x:c>
      <x:c r="M10" s="310" t="n">
        <x:f>M7+M8-M9</x:f>
        <x:v>10023.884</x:v>
      </x:c>
      <x:c r="N10" s="350" t="n">
        <x:f>SUM(B10:M10)</x:f>
        <x:v>26771.324</x:v>
      </x:c>
      <x:c r="O10" s="232"/>
      <x:c r="P10" s="232"/>
      <x:c r="Q10" s="232"/>
    </x:row>
    <x:row r="11">
      <x:c r="A11" s="355" t="str">
        <x:v>Ending Cash</x:v>
      </x:c>
      <x:c r="B11" s="420" t="n">
        <x:f>B6+B10</x:f>
        <x:v>3411</x:v>
      </x:c>
      <x:c r="C11" s="420" t="n">
        <x:f>C6+C10</x:f>
        <x:v>1636</x:v>
      </x:c>
      <x:c r="D11" s="420" t="n">
        <x:f>D6+D10</x:f>
        <x:v>-401.7359999999999</x:v>
      </x:c>
      <x:c r="E11" s="420" t="n">
        <x:f>E6+E10</x:f>
        <x:v>-696.8719999999998</x:v>
      </x:c>
      <x:c r="F11" s="420" t="n">
        <x:f>F6+F10</x:f>
        <x:v>-550.7327999999998</x:v>
      </x:c>
      <x:c r="G11" s="420" t="n">
        <x:f>G6+G10</x:f>
        <x:v>600.2704000000003</x:v>
      </x:c>
      <x:c r="H11" s="420" t="n">
        <x:f>H6+H10</x:f>
        <x:v>3086.1536</x:v>
      </x:c>
      <x:c r="I11" s="420" t="n">
        <x:f>I6+I10</x:f>
        <x:v>6532.756799999999</x:v>
      </x:c>
      <x:c r="J11" s="420" t="n">
        <x:f>J6+J10</x:f>
        <x:v>10151.561599999999</x:v>
      </x:c>
      <x:c r="K11" s="420" t="n">
        <x:f>K6+K10</x:f>
        <x:v>16002.628799999999</x:v>
      </x:c>
      <x:c r="L11" s="420" t="n">
        <x:f>L6+L10</x:f>
        <x:v>21747.44</x:v>
      </x:c>
      <x:c r="M11" s="420" t="n">
        <x:f>M6+M10</x:f>
        <x:v>31771.324</x:v>
      </x:c>
      <x:c r="N11" s="356" t="n">
        <x:f>M11</x:f>
        <x:v>31771.324</x:v>
      </x:c>
      <x:c r="O11" s="232"/>
      <x:c r="P11" s="232"/>
      <x:c r="Q11" s="232"/>
    </x:row>
    <x:row r="12">
      <x:c r="A12" s="232" t="str">
        <x:v>Minimum Cash Buffer</x:v>
      </x:c>
      <x:c r="B12" s="309" t="n">
        <x:f>'Assumptions'!$B$11</x:f>
        <x:v>2000</x:v>
      </x:c>
      <x:c r="C12" s="309" t="n">
        <x:f>'Assumptions'!$B$11</x:f>
        <x:v>2000</x:v>
      </x:c>
      <x:c r="D12" s="309" t="n">
        <x:f>'Assumptions'!$B$11</x:f>
        <x:v>2000</x:v>
      </x:c>
      <x:c r="E12" s="309" t="n">
        <x:f>'Assumptions'!$B$11</x:f>
        <x:v>2000</x:v>
      </x:c>
      <x:c r="F12" s="309" t="n">
        <x:f>'Assumptions'!$B$11</x:f>
        <x:v>2000</x:v>
      </x:c>
      <x:c r="G12" s="309" t="n">
        <x:f>'Assumptions'!$B$11</x:f>
        <x:v>2000</x:v>
      </x:c>
      <x:c r="H12" s="309" t="n">
        <x:f>'Assumptions'!$B$11</x:f>
        <x:v>2000</x:v>
      </x:c>
      <x:c r="I12" s="309" t="n">
        <x:f>'Assumptions'!$B$11</x:f>
        <x:v>2000</x:v>
      </x:c>
      <x:c r="J12" s="309" t="n">
        <x:f>'Assumptions'!$B$11</x:f>
        <x:v>2000</x:v>
      </x:c>
      <x:c r="K12" s="309" t="n">
        <x:f>'Assumptions'!$B$11</x:f>
        <x:v>2000</x:v>
      </x:c>
      <x:c r="L12" s="309" t="n">
        <x:f>'Assumptions'!$B$11</x:f>
        <x:v>2000</x:v>
      </x:c>
      <x:c r="M12" s="309" t="n">
        <x:f>'Assumptions'!$B$11</x:f>
        <x:v>2000</x:v>
      </x:c>
      <x:c r="N12" s="351" t="n">
        <x:f>MIN(B12:M12)</x:f>
        <x:v>2000</x:v>
      </x:c>
      <x:c r="O12" s="232"/>
      <x:c r="P12" s="232"/>
      <x:c r="Q12" s="232"/>
    </x:row>
    <x:row r="13">
      <x:c r="A13" s="373" t="str">
        <x:v>Capital Gap to Maintain Buffer</x:v>
      </x:c>
      <x:c r="B13" s="421" t="n">
        <x:f>MAX(0,B12-B11)</x:f>
        <x:v>0</x:v>
      </x:c>
      <x:c r="C13" s="421" t="n">
        <x:f>MAX(0,C12-C11)</x:f>
        <x:v>364</x:v>
      </x:c>
      <x:c r="D13" s="421" t="n">
        <x:f>MAX(0,D12-D11)</x:f>
        <x:v>2401.736</x:v>
      </x:c>
      <x:c r="E13" s="421" t="n">
        <x:f>MAX(0,E12-E11)</x:f>
        <x:v>2696.872</x:v>
      </x:c>
      <x:c r="F13" s="421" t="n">
        <x:f>MAX(0,F12-F11)</x:f>
        <x:v>2550.7327999999998</x:v>
      </x:c>
      <x:c r="G13" s="421" t="n">
        <x:f>MAX(0,G12-G11)</x:f>
        <x:v>1399.7295999999997</x:v>
      </x:c>
      <x:c r="H13" s="421" t="n">
        <x:f>MAX(0,H12-H11)</x:f>
        <x:v>0</x:v>
      </x:c>
      <x:c r="I13" s="421" t="n">
        <x:f>MAX(0,I12-I11)</x:f>
        <x:v>0</x:v>
      </x:c>
      <x:c r="J13" s="421" t="n">
        <x:f>MAX(0,J12-J11)</x:f>
        <x:v>0</x:v>
      </x:c>
      <x:c r="K13" s="421" t="n">
        <x:f>MAX(0,K12-K11)</x:f>
        <x:v>0</x:v>
      </x:c>
      <x:c r="L13" s="421" t="n">
        <x:f>MAX(0,L12-L11)</x:f>
        <x:v>0</x:v>
      </x:c>
      <x:c r="M13" s="421" t="n">
        <x:f>MAX(0,M12-M11)</x:f>
        <x:v>0</x:v>
      </x:c>
      <x:c r="N13" s="374" t="n">
        <x:f>MAX(B13:M13)</x:f>
        <x:v>2696.872</x:v>
      </x:c>
      <x:c r="O13" s="232"/>
      <x:c r="P13" s="232"/>
      <x:c r="Q13" s="232"/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</x:row>
    <x:row r="15">
      <x:c r="A15" s="232"/>
      <x:c r="B15" s="232"/>
      <x:c r="C15" s="232"/>
      <x:c r="D15" s="232"/>
      <x:c r="E15" s="232"/>
      <x:c r="F15" s="232"/>
      <x:c r="G15" s="232"/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</x:row>
    <x:row r="16">
      <x:c r="A16" s="232"/>
      <x:c r="B16" s="232"/>
      <x:c r="C16" s="232"/>
      <x:c r="D16" s="232"/>
      <x:c r="E16" s="232"/>
      <x:c r="F16" s="232"/>
      <x:c r="G16" s="232"/>
      <x:c r="H16" s="232"/>
      <x:c r="I16" s="232"/>
      <x:c r="J16" s="232"/>
      <x:c r="K16" s="232"/>
      <x:c r="L16" s="232"/>
      <x:c r="M16" s="232"/>
      <x:c r="N16" s="232"/>
      <x:c r="O16" s="232"/>
      <x:c r="P16" s="232"/>
      <x:c r="Q16" s="232"/>
    </x:row>
    <x:row r="17">
      <x:c r="A17" s="232"/>
      <x:c r="B17" s="232"/>
      <x:c r="C17" s="232"/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</x:row>
    <x:row r="18">
      <x:c r="A18" s="232"/>
      <x:c r="B18" s="232"/>
      <x:c r="C18" s="232"/>
      <x:c r="D18" s="232"/>
      <x:c r="E18" s="232"/>
      <x:c r="F18" s="232"/>
      <x:c r="G18" s="232"/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</x:row>
    <x:row r="19">
      <x:c r="A19" s="232"/>
      <x:c r="B19" s="232"/>
      <x:c r="C19" s="232"/>
      <x:c r="D19" s="232"/>
      <x:c r="E19" s="232"/>
      <x:c r="F19" s="232"/>
      <x:c r="G19" s="232"/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</x:row>
    <x:row r="20">
      <x:c r="A20" s="232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2"/>
      <x:c r="P20" s="232"/>
      <x:c r="Q20" s="232"/>
    </x:row>
    <x:row r="21">
      <x:c r="A21" s="232"/>
      <x:c r="B21" s="232"/>
      <x:c r="C21" s="232"/>
      <x:c r="D21" s="232"/>
      <x:c r="E21" s="232"/>
      <x:c r="F21" s="232"/>
      <x:c r="G21" s="232"/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</x:row>
    <x:row r="22">
      <x:c r="A22" s="232"/>
      <x:c r="B22" s="232"/>
      <x:c r="C22" s="232"/>
      <x:c r="D22" s="232"/>
      <x:c r="E22" s="232"/>
      <x:c r="F22" s="232"/>
      <x:c r="G22" s="232"/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</x:row>
    <x:row r="24">
      <x:c r="A24" s="232"/>
      <x:c r="B24" s="232"/>
      <x:c r="C24" s="232"/>
      <x:c r="D24" s="232"/>
      <x:c r="E24" s="232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</x:row>
    <x:row r="25">
      <x:c r="A25" s="232"/>
      <x:c r="B25" s="232"/>
      <x:c r="C25" s="232"/>
      <x:c r="D25" s="232"/>
      <x:c r="E25" s="232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</x:row>
    <x:row r="26">
      <x:c r="A26" s="232"/>
      <x:c r="B26" s="232"/>
      <x:c r="C26" s="232"/>
      <x:c r="D26" s="232"/>
      <x:c r="E26" s="232"/>
      <x:c r="F26" s="232"/>
      <x:c r="G26" s="232"/>
      <x:c r="H26" s="232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>
      <x:c r="A27" s="232"/>
      <x:c r="B27" s="232"/>
      <x:c r="C27" s="232"/>
      <x:c r="D27" s="232"/>
      <x:c r="E27" s="232"/>
      <x:c r="F27" s="232"/>
      <x:c r="G27" s="232"/>
      <x:c r="H27" s="232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232"/>
      <x:c r="B28" s="232"/>
      <x:c r="C28" s="232"/>
      <x:c r="D28" s="232"/>
      <x:c r="E28" s="232"/>
      <x:c r="F28" s="232"/>
      <x:c r="G28" s="232"/>
      <x:c r="H28" s="232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232"/>
      <x:c r="B29" s="232"/>
      <x:c r="C29" s="232"/>
      <x:c r="D29" s="232"/>
      <x:c r="E29" s="232"/>
      <x:c r="F29" s="232"/>
      <x:c r="G29" s="232"/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232"/>
      <x:c r="B30" s="232"/>
      <x:c r="C30" s="232"/>
      <x:c r="D30" s="232"/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232"/>
      <x:c r="B31" s="232"/>
      <x:c r="C31" s="232"/>
      <x:c r="D31" s="232"/>
      <x:c r="E31" s="232"/>
      <x:c r="F31" s="232"/>
      <x:c r="G31" s="232"/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>
      <x:c r="A33" s="232"/>
      <x:c r="B33" s="232"/>
      <x:c r="C33" s="232"/>
      <x:c r="D33" s="232"/>
      <x:c r="E33" s="232"/>
      <x:c r="F33" s="232"/>
      <x:c r="G33" s="232"/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>
      <x:c r="A34" s="232"/>
      <x:c r="B34" s="232"/>
      <x:c r="C34" s="232"/>
      <x:c r="D34" s="232"/>
      <x:c r="E34" s="232"/>
      <x:c r="F34" s="232"/>
      <x:c r="G34" s="232"/>
      <x:c r="H34" s="232"/>
      <x:c r="I34" s="232"/>
      <x:c r="J34" s="232"/>
      <x:c r="K34" s="232"/>
      <x:c r="L34" s="232"/>
      <x:c r="M34" s="232"/>
      <x:c r="N34" s="232"/>
      <x:c r="O34" s="232"/>
      <x:c r="P34" s="232"/>
      <x:c r="Q34" s="232"/>
    </x:row>
    <x:row r="35">
      <x:c r="A35" s="232"/>
      <x:c r="B35" s="232"/>
      <x:c r="C35" s="232"/>
      <x:c r="D35" s="232"/>
      <x:c r="E35" s="232"/>
      <x:c r="F35" s="232"/>
      <x:c r="G35" s="232"/>
      <x:c r="H35" s="232"/>
      <x:c r="I35" s="232"/>
      <x:c r="J35" s="232"/>
      <x:c r="K35" s="232"/>
      <x:c r="L35" s="232"/>
      <x:c r="M35" s="232"/>
      <x:c r="N35" s="232"/>
      <x:c r="O35" s="232"/>
      <x:c r="P35" s="232"/>
      <x:c r="Q35" s="232"/>
    </x:row>
    <x:row r="36">
      <x:c r="A36" s="232"/>
      <x:c r="B36" s="232"/>
      <x:c r="C36" s="232"/>
      <x:c r="D36" s="232"/>
      <x:c r="E36" s="232"/>
      <x:c r="F36" s="232"/>
      <x:c r="G36" s="232"/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2"/>
      <x:c r="B37" s="232"/>
      <x:c r="C37" s="232"/>
      <x:c r="D37" s="232"/>
      <x:c r="E37" s="232"/>
      <x:c r="F37" s="232"/>
      <x:c r="G37" s="232"/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>
      <x:c r="A38" s="232"/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32"/>
      <x:c r="M38" s="232"/>
      <x:c r="N38" s="232"/>
      <x:c r="O38" s="232"/>
      <x:c r="P38" s="232"/>
      <x:c r="Q38" s="232"/>
    </x:row>
    <x:row r="39">
      <x:c r="A39" s="232"/>
      <x:c r="B39" s="232"/>
      <x:c r="C39" s="232"/>
      <x:c r="D39" s="232"/>
      <x:c r="E39" s="232"/>
      <x:c r="F39" s="232"/>
      <x:c r="G39" s="232"/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N1"/>
    <x:mergeCell ref="A3:N3"/>
  </x:mergeCells>
  <x:conditionalFormatting sqref="B11:M11">
    <x:cfRule type="expression" dxfId="1" priority="1">
      <x:formula>B11&lt;0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8" t="str">
        <x:v>Bobert Finance Dashboard — Projected 12-Month Base Case</x:v>
      </x:c>
      <x:c r="B1" s="418"/>
      <x:c r="C1" s="418"/>
      <x:c r="D1" s="418"/>
      <x:c r="E1" s="418"/>
      <x:c r="F1" s="418"/>
      <x:c r="G1" s="418"/>
      <x:c r="H1" s="418"/>
      <x:c r="I1" s="418"/>
      <x:c r="J1" s="418"/>
      <x:c r="K1" s="418"/>
      <x:c r="L1" s="418"/>
      <x:c r="M1" s="418"/>
      <x:c r="N1" s="418"/>
      <x:c r="O1" s="232"/>
      <x:c r="P1" s="232"/>
      <x:c r="Q1" s="232"/>
    </x:row>
    <x:row r="2">
      <x:c r="A2" s="288" t="str">
        <x:v>Purpose: align Finance, Business Development, Product, and Founder decisions around one projected operating plan.</x:v>
      </x:c>
      <x:c r="B2" s="288"/>
      <x:c r="C2" s="288"/>
      <x:c r="D2" s="288"/>
      <x:c r="E2" s="288"/>
      <x:c r="F2" s="288"/>
      <x:c r="G2" s="288"/>
      <x:c r="H2" s="288"/>
      <x:c r="I2" s="288"/>
      <x:c r="J2" s="288"/>
      <x:c r="K2" s="288"/>
      <x:c r="L2" s="288"/>
      <x:c r="M2" s="288"/>
      <x:c r="N2" s="288"/>
      <x:c r="O2" s="232"/>
      <x:c r="P2" s="232"/>
      <x:c r="Q2" s="232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</x:row>
    <x:row r="4">
      <x:c r="A4" s="232" t="str">
        <x:v>Selected Scenario</x:v>
      </x:c>
      <x:c r="B4" s="289" t="str">
        <x:f>'Assumptions'!B6</x:f>
        <x:v>Expected</x:v>
      </x:c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232"/>
      <x:c r="B5" s="232"/>
      <x:c r="C5" s="232"/>
      <x:c r="D5" s="232"/>
      <x:c r="E5" s="232"/>
      <x:c r="F5" s="232"/>
      <x:c r="G5" s="232"/>
      <x:c r="H5" s="232"/>
      <x:c r="I5" s="232"/>
      <x:c r="J5" s="232"/>
      <x:c r="K5" s="232"/>
      <x:c r="L5" s="232"/>
      <x:c r="M5" s="232"/>
      <x:c r="N5" s="232"/>
      <x:c r="O5" s="232"/>
      <x:c r="P5" s="232"/>
      <x:c r="Q5" s="232"/>
    </x:row>
    <x:row r="6">
      <x:c r="A6" s="398" t="str">
        <x:v>Year 1 Revenue</x:v>
      </x:c>
      <x:c r="B6" s="398"/>
      <x:c r="C6" s="398"/>
      <x:c r="D6" s="398" t="str">
        <x:v>Year 1 Gross Profit</x:v>
      </x:c>
      <x:c r="E6" s="398"/>
      <x:c r="F6" s="398"/>
      <x:c r="G6" s="398" t="str">
        <x:v>Gross Margin</x:v>
      </x:c>
      <x:c r="H6" s="398"/>
      <x:c r="I6" s="398"/>
      <x:c r="J6" s="398" t="str">
        <x:v>Year 1 EBITDA</x:v>
      </x:c>
      <x:c r="K6" s="398"/>
      <x:c r="L6" s="398"/>
      <x:c r="M6" s="232"/>
      <x:c r="N6" s="232"/>
      <x:c r="O6" s="232"/>
      <x:c r="P6" s="232"/>
      <x:c r="Q6" s="232"/>
    </x:row>
    <x:row r="7">
      <x:c r="A7" s="379" t="n">
        <x:f>'Projected P&amp;L'!N11</x:f>
        <x:v>94575</x:v>
      </x:c>
      <x:c r="B7" s="380"/>
      <x:c r="C7" s="380"/>
      <x:c r="D7" s="379" t="n">
        <x:f>'Projected P&amp;L'!N21</x:f>
        <x:v>74735.324</x:v>
      </x:c>
      <x:c r="E7" s="380"/>
      <x:c r="F7" s="380"/>
      <x:c r="G7" s="381" t="n">
        <x:f>'Projected P&amp;L'!N22</x:f>
        <x:v>0.7902228284430346</x:v>
      </x:c>
      <x:c r="H7" s="380"/>
      <x:c r="I7" s="380"/>
      <x:c r="J7" s="379" t="n">
        <x:f>'Projected P&amp;L'!N39</x:f>
        <x:v>26771.323999999993</x:v>
      </x:c>
      <x:c r="K7" s="380"/>
      <x:c r="L7" s="380"/>
      <x:c r="M7" s="232"/>
      <x:c r="N7" s="232"/>
      <x:c r="O7" s="232"/>
      <x:c r="P7" s="232"/>
      <x:c r="Q7" s="232"/>
    </x:row>
    <x:row r="8">
      <x:c r="A8" s="380"/>
      <x:c r="B8" s="380"/>
      <x:c r="C8" s="380"/>
      <x:c r="D8" s="380"/>
      <x:c r="E8" s="380"/>
      <x:c r="F8" s="380"/>
      <x:c r="G8" s="380"/>
      <x:c r="H8" s="380"/>
      <x:c r="I8" s="380"/>
      <x:c r="J8" s="380"/>
      <x:c r="K8" s="380"/>
      <x:c r="L8" s="380"/>
      <x:c r="M8" s="232"/>
      <x:c r="N8" s="232"/>
      <x:c r="O8" s="232"/>
      <x:c r="P8" s="232"/>
      <x:c r="Q8" s="232"/>
    </x:row>
    <x:row r="9">
      <x:c r="A9" s="232"/>
      <x:c r="B9" s="232"/>
      <x:c r="C9" s="232"/>
      <x:c r="D9" s="232"/>
      <x:c r="E9" s="232"/>
      <x:c r="F9" s="232"/>
      <x:c r="G9" s="232"/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</x:row>
    <x:row r="10">
      <x:c r="A10" s="398" t="str">
        <x:v>Month 12 MRR</x:v>
      </x:c>
      <x:c r="B10" s="398"/>
      <x:c r="C10" s="398"/>
      <x:c r="D10" s="398" t="str">
        <x:v>Month 12 ARR Run-rate</x:v>
      </x:c>
      <x:c r="E10" s="398"/>
      <x:c r="F10" s="398"/>
      <x:c r="G10" s="398" t="str">
        <x:v>Month 12 Paid Accounts</x:v>
      </x:c>
      <x:c r="H10" s="398"/>
      <x:c r="I10" s="398"/>
      <x:c r="J10" s="398" t="str">
        <x:v>First EBITDA-Positive Month</x:v>
      </x:c>
      <x:c r="K10" s="398"/>
      <x:c r="L10" s="398"/>
      <x:c r="M10" s="232"/>
      <x:c r="N10" s="232"/>
      <x:c r="O10" s="232"/>
      <x:c r="P10" s="232"/>
      <x:c r="Q10" s="232"/>
    </x:row>
    <x:row r="11">
      <x:c r="A11" s="379" t="n">
        <x:f>'Revenue Build'!M19</x:f>
        <x:v>25560</x:v>
      </x:c>
      <x:c r="B11" s="380"/>
      <x:c r="C11" s="380"/>
      <x:c r="D11" s="379" t="n">
        <x:f>'Revenue Build'!M20</x:f>
        <x:v>306720</x:v>
      </x:c>
      <x:c r="E11" s="380"/>
      <x:c r="F11" s="380"/>
      <x:c r="G11" s="382" t="n">
        <x:f>'Revenue Build'!M11</x:f>
        <x:v>301</x:v>
      </x:c>
      <x:c r="H11" s="380"/>
      <x:c r="I11" s="380"/>
      <x:c r="J11" s="383" t="n">
        <x:f>INDEX('Projected P&amp;L'!B5:M5,1,MATCH(1,'Projected P&amp;L'!B41:M41,0))</x:f>
        <x:v>46357</x:v>
      </x:c>
      <x:c r="K11" s="380"/>
      <x:c r="L11" s="380"/>
      <x:c r="M11" s="232"/>
      <x:c r="N11" s="232"/>
      <x:c r="O11" s="232"/>
      <x:c r="P11" s="232"/>
      <x:c r="Q11" s="232"/>
    </x:row>
    <x:row r="12">
      <x:c r="A12" s="380"/>
      <x:c r="B12" s="380"/>
      <x:c r="C12" s="380"/>
      <x:c r="D12" s="380"/>
      <x:c r="E12" s="380"/>
      <x:c r="F12" s="380"/>
      <x:c r="G12" s="380"/>
      <x:c r="H12" s="380"/>
      <x:c r="I12" s="380"/>
      <x:c r="J12" s="380"/>
      <x:c r="K12" s="380"/>
      <x:c r="L12" s="380"/>
      <x:c r="M12" s="232"/>
      <x:c r="N12" s="232"/>
      <x:c r="O12" s="232"/>
      <x:c r="P12" s="232"/>
      <x:c r="Q12" s="232"/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</x:row>
    <x:row r="14">
      <x:c r="A14" s="398" t="str">
        <x:v>Starting Cash</x:v>
      </x:c>
      <x:c r="B14" s="398"/>
      <x:c r="C14" s="398"/>
      <x:c r="D14" s="398" t="str">
        <x:v>Lowest Ending Cash</x:v>
      </x:c>
      <x:c r="E14" s="398"/>
      <x:c r="F14" s="398"/>
      <x:c r="G14" s="398" t="str">
        <x:v>Capital Gap to Buffer</x:v>
      </x:c>
      <x:c r="H14" s="398"/>
      <x:c r="I14" s="398"/>
      <x:c r="J14" s="398" t="str">
        <x:v>Ending Cash</x:v>
      </x:c>
      <x:c r="K14" s="398"/>
      <x:c r="L14" s="398"/>
      <x:c r="M14" s="232"/>
      <x:c r="N14" s="232"/>
      <x:c r="O14" s="232"/>
      <x:c r="P14" s="232"/>
      <x:c r="Q14" s="232"/>
    </x:row>
    <x:row r="15">
      <x:c r="A15" s="379" t="n">
        <x:f>'Assumptions'!B9</x:f>
        <x:v>5000</x:v>
      </x:c>
      <x:c r="B15" s="380"/>
      <x:c r="C15" s="380"/>
      <x:c r="D15" s="379" t="n">
        <x:f>MIN('Cash Forecast'!B11:M11)</x:f>
        <x:v>-696.8719999999998</x:v>
      </x:c>
      <x:c r="E15" s="380"/>
      <x:c r="F15" s="380"/>
      <x:c r="G15" s="379" t="n">
        <x:f>'Cash Forecast'!N13</x:f>
        <x:v>2696.872</x:v>
      </x:c>
      <x:c r="H15" s="380"/>
      <x:c r="I15" s="380"/>
      <x:c r="J15" s="379" t="n">
        <x:f>'Cash Forecast'!M11</x:f>
        <x:v>31771.324</x:v>
      </x:c>
      <x:c r="K15" s="380"/>
      <x:c r="L15" s="380"/>
      <x:c r="M15" s="232"/>
      <x:c r="N15" s="232"/>
      <x:c r="O15" s="232"/>
      <x:c r="P15" s="232"/>
      <x:c r="Q15" s="232"/>
    </x:row>
    <x:row r="16">
      <x:c r="A16" s="380"/>
      <x:c r="B16" s="380"/>
      <x:c r="C16" s="380"/>
      <x:c r="D16" s="380"/>
      <x:c r="E16" s="380"/>
      <x:c r="F16" s="380"/>
      <x:c r="G16" s="380"/>
      <x:c r="H16" s="380"/>
      <x:c r="I16" s="380"/>
      <x:c r="J16" s="380"/>
      <x:c r="K16" s="380"/>
      <x:c r="L16" s="380"/>
      <x:c r="M16" s="232"/>
      <x:c r="N16" s="232"/>
      <x:c r="O16" s="232"/>
      <x:c r="P16" s="232"/>
      <x:c r="Q16" s="232"/>
    </x:row>
    <x:row r="17">
      <x:c r="A17" s="232"/>
      <x:c r="B17" s="232"/>
      <x:c r="C17" s="232"/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</x:row>
    <x:row r="18" ht="20" customHeight="1">
      <x:c r="A18" s="273" t="str">
        <x:v>MONTHLY TREND DATA</x:v>
      </x:c>
      <x:c r="B18" s="273"/>
      <x:c r="C18" s="273"/>
      <x:c r="D18" s="273"/>
      <x:c r="E18" s="232"/>
      <x:c r="F18" s="232"/>
      <x:c r="G18" s="232"/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</x:row>
    <x:row r="19">
      <x:c r="A19" s="197" t="str">
        <x:v>Month</x:v>
      </x:c>
      <x:c r="B19" s="197" t="str">
        <x:v>Revenue</x:v>
      </x:c>
      <x:c r="C19" s="197" t="str">
        <x:v>Total Expenses</x:v>
      </x:c>
      <x:c r="D19" s="197" t="str">
        <x:v>EBITDA</x:v>
      </x:c>
      <x:c r="E19" s="232"/>
      <x:c r="F19" s="232"/>
      <x:c r="G19" s="232"/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</x:row>
    <x:row r="20">
      <x:c r="A20" s="399" t="str">
        <x:v>Aug-26</x:v>
      </x:c>
      <x:c r="B20" s="309" t="n">
        <x:f>'Projected P&amp;L'!B11</x:f>
        <x:v>0</x:v>
      </x:c>
      <x:c r="C20" s="309" t="n">
        <x:f>'Projected P&amp;L'!B20+'Projected P&amp;L'!B37</x:f>
        <x:v>1589</x:v>
      </x:c>
      <x:c r="D20" s="309" t="n">
        <x:f>'Projected P&amp;L'!B39</x:f>
        <x:v>-1589</x:v>
      </x:c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2"/>
      <x:c r="P20" s="232"/>
      <x:c r="Q20" s="232"/>
    </x:row>
    <x:row r="21">
      <x:c r="A21" s="399" t="str">
        <x:v>Sep-26</x:v>
      </x:c>
      <x:c r="B21" s="309" t="n">
        <x:f>'Projected P&amp;L'!C11</x:f>
        <x:v>0</x:v>
      </x:c>
      <x:c r="C21" s="309" t="n">
        <x:f>'Projected P&amp;L'!C20+'Projected P&amp;L'!C37</x:f>
        <x:v>1775</x:v>
      </x:c>
      <x:c r="D21" s="309" t="n">
        <x:f>'Projected P&amp;L'!C39</x:f>
        <x:v>-1775</x:v>
      </x:c>
      <x:c r="E21" s="232"/>
      <x:c r="F21" s="232"/>
      <x:c r="G21" s="232"/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</x:row>
    <x:row r="22">
      <x:c r="A22" s="399" t="str">
        <x:v>Oct-26</x:v>
      </x:c>
      <x:c r="B22" s="309" t="n">
        <x:f>'Projected P&amp;L'!D11</x:f>
        <x:v>710</x:v>
      </x:c>
      <x:c r="C22" s="309" t="n">
        <x:f>'Projected P&amp;L'!D20+'Projected P&amp;L'!D37</x:f>
        <x:v>2747.736</x:v>
      </x:c>
      <x:c r="D22" s="309" t="n">
        <x:f>'Projected P&amp;L'!D39</x:f>
        <x:v>-2037.7359999999999</x:v>
      </x:c>
      <x:c r="E22" s="232"/>
      <x:c r="F22" s="232"/>
      <x:c r="G22" s="232"/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</x:row>
    <x:row r="23">
      <x:c r="A23" s="399" t="str">
        <x:v>Nov-26</x:v>
      </x:c>
      <x:c r="B23" s="309" t="n">
        <x:f>'Projected P&amp;L'!E11</x:f>
        <x:v>1710</x:v>
      </x:c>
      <x:c r="C23" s="309" t="n">
        <x:f>'Projected P&amp;L'!E20+'Projected P&amp;L'!E37</x:f>
        <x:v>2005.136</x:v>
      </x:c>
      <x:c r="D23" s="309" t="n">
        <x:f>'Projected P&amp;L'!E39</x:f>
        <x:v>-295.13599999999997</x:v>
      </x:c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</x:row>
    <x:row r="24">
      <x:c r="A24" s="399" t="str">
        <x:v>Dec-26</x:v>
      </x:c>
      <x:c r="B24" s="309" t="n">
        <x:f>'Projected P&amp;L'!F11</x:f>
        <x:v>2538</x:v>
      </x:c>
      <x:c r="C24" s="309" t="n">
        <x:f>'Projected P&amp;L'!F20+'Projected P&amp;L'!F37</x:f>
        <x:v>2391.8608</x:v>
      </x:c>
      <x:c r="D24" s="309" t="n">
        <x:f>'Projected P&amp;L'!F39</x:f>
        <x:v>146.13920000000007</x:v>
      </x:c>
      <x:c r="E24" s="232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</x:row>
    <x:row r="25">
      <x:c r="A25" s="399" t="str">
        <x:v>Jan-27</x:v>
      </x:c>
      <x:c r="B25" s="309" t="n">
        <x:f>'Projected P&amp;L'!G11</x:f>
        <x:v>4248</x:v>
      </x:c>
      <x:c r="C25" s="309" t="n">
        <x:f>'Projected P&amp;L'!G20+'Projected P&amp;L'!G37</x:f>
        <x:v>3096.9968</x:v>
      </x:c>
      <x:c r="D25" s="309" t="n">
        <x:f>'Projected P&amp;L'!G39</x:f>
        <x:v>1151.0032</x:v>
      </x:c>
      <x:c r="E25" s="232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</x:row>
    <x:row r="26">
      <x:c r="A26" s="399" t="str">
        <x:v>Feb-27</x:v>
      </x:c>
      <x:c r="B26" s="309" t="n">
        <x:f>'Projected P&amp;L'!H11</x:f>
        <x:v>6253</x:v>
      </x:c>
      <x:c r="C26" s="309" t="n">
        <x:f>'Projected P&amp;L'!H20+'Projected P&amp;L'!H37</x:f>
        <x:v>3767.1168000000002</x:v>
      </x:c>
      <x:c r="D26" s="309" t="n">
        <x:f>'Projected P&amp;L'!H39</x:f>
        <x:v>2485.8832</x:v>
      </x:c>
      <x:c r="E26" s="232"/>
      <x:c r="F26" s="232"/>
      <x:c r="G26" s="232"/>
      <x:c r="H26" s="232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>
      <x:c r="A27" s="399" t="str">
        <x:v>Mar-27</x:v>
      </x:c>
      <x:c r="B27" s="309" t="n">
        <x:f>'Projected P&amp;L'!I11</x:f>
        <x:v>8553</x:v>
      </x:c>
      <x:c r="C27" s="309" t="n">
        <x:f>'Projected P&amp;L'!I20+'Projected P&amp;L'!I37</x:f>
        <x:v>5106.3968</x:v>
      </x:c>
      <x:c r="D27" s="309" t="n">
        <x:f>'Projected P&amp;L'!I39</x:f>
        <x:v>3446.6031999999996</x:v>
      </x:c>
      <x:c r="E27" s="232"/>
      <x:c r="F27" s="232"/>
      <x:c r="G27" s="232"/>
      <x:c r="H27" s="232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399" t="str">
        <x:v>Apr-27</x:v>
      </x:c>
      <x:c r="B28" s="309" t="n">
        <x:f>'Projected P&amp;L'!J11</x:f>
        <x:v>11267</x:v>
      </x:c>
      <x:c r="C28" s="309" t="n">
        <x:f>'Projected P&amp;L'!J20+'Projected P&amp;L'!J37</x:f>
        <x:v>7648.1952</x:v>
      </x:c>
      <x:c r="D28" s="309" t="n">
        <x:f>'Projected P&amp;L'!J39</x:f>
        <x:v>3618.8048</x:v>
      </x:c>
      <x:c r="E28" s="232"/>
      <x:c r="F28" s="232"/>
      <x:c r="G28" s="232"/>
      <x:c r="H28" s="232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399" t="str">
        <x:v>May-27</x:v>
      </x:c>
      <x:c r="B29" s="309" t="n">
        <x:f>'Projected P&amp;L'!K11</x:f>
        <x:v>14863</x:v>
      </x:c>
      <x:c r="C29" s="309" t="n">
        <x:f>'Projected P&amp;L'!K20+'Projected P&amp;L'!K37</x:f>
        <x:v>9011.9328</x:v>
      </x:c>
      <x:c r="D29" s="309" t="n">
        <x:f>'Projected P&amp;L'!K39</x:f>
        <x:v>5851.0671999999995</x:v>
      </x:c>
      <x:c r="E29" s="232"/>
      <x:c r="F29" s="232"/>
      <x:c r="G29" s="232"/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399" t="str">
        <x:v>Jun-27</x:v>
      </x:c>
      <x:c r="B30" s="309" t="n">
        <x:f>'Projected P&amp;L'!L11</x:f>
        <x:v>18873</x:v>
      </x:c>
      <x:c r="C30" s="309" t="n">
        <x:f>'Projected P&amp;L'!L20+'Projected P&amp;L'!L37</x:f>
        <x:v>13128.1888</x:v>
      </x:c>
      <x:c r="D30" s="309" t="n">
        <x:f>'Projected P&amp;L'!L39</x:f>
        <x:v>5744.8112</x:v>
      </x:c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399" t="str">
        <x:v>Jul-27</x:v>
      </x:c>
      <x:c r="B31" s="309" t="n">
        <x:f>'Projected P&amp;L'!M11</x:f>
        <x:v>25560</x:v>
      </x:c>
      <x:c r="C31" s="309" t="n">
        <x:f>'Projected P&amp;L'!M20+'Projected P&amp;L'!M37</x:f>
        <x:v>15536.116</x:v>
      </x:c>
      <x:c r="D31" s="309" t="n">
        <x:f>'Projected P&amp;L'!M39</x:f>
        <x:v>10023.883999999998</x:v>
      </x:c>
      <x:c r="E31" s="232"/>
      <x:c r="F31" s="232"/>
      <x:c r="G31" s="232"/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>
      <x:c r="A33" s="232"/>
      <x:c r="B33" s="232"/>
      <x:c r="C33" s="232"/>
      <x:c r="D33" s="232"/>
      <x:c r="E33" s="232"/>
      <x:c r="F33" s="232"/>
      <x:c r="G33" s="232"/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 ht="20" customHeight="1">
      <x:c r="A34" s="273" t="str">
        <x:v>FINANCE INTERPRETATION</x:v>
      </x:c>
      <x:c r="B34" s="273"/>
      <x:c r="C34" s="273"/>
      <x:c r="D34" s="273"/>
      <x:c r="E34" s="273"/>
      <x:c r="F34" s="273"/>
      <x:c r="G34" s="273"/>
      <x:c r="H34" s="273"/>
      <x:c r="I34" s="273"/>
      <x:c r="J34" s="273"/>
      <x:c r="K34" s="273"/>
      <x:c r="L34" s="273"/>
      <x:c r="M34" s="273"/>
      <x:c r="N34" s="273"/>
      <x:c r="O34" s="232"/>
      <x:c r="P34" s="232"/>
      <x:c r="Q34" s="232"/>
    </x:row>
    <x:row r="35">
      <x:c r="A35" s="400" t="str">
        <x:v>Base-case interpretation</x:v>
      </x:c>
      <x:c r="B35" s="401" t="str">
        <x:v>Bobert operates at a monthly loss during beta and launch, then becomes monthly EBITDA-positive as paid accounts compound. This is a projection, not a promise.</x:v>
      </x:c>
      <x:c r="C35" s="401"/>
      <x:c r="D35" s="401"/>
      <x:c r="E35" s="401"/>
      <x:c r="F35" s="401"/>
      <x:c r="G35" s="401"/>
      <x:c r="H35" s="401"/>
      <x:c r="I35" s="401"/>
      <x:c r="J35" s="401"/>
      <x:c r="K35" s="401"/>
      <x:c r="L35" s="401"/>
      <x:c r="M35" s="401"/>
      <x:c r="N35" s="401"/>
      <x:c r="O35" s="232"/>
      <x:c r="P35" s="232"/>
      <x:c r="Q35" s="232"/>
    </x:row>
    <x:row r="36">
      <x:c r="A36" s="326" t="str">
        <x:v>Cash interpretation</x:v>
      </x:c>
      <x:c r="B36" s="402" t="str">
        <x:v>The model exposes the maximum cash gap required to preserve the minimum cash buffer. Add founder capital contributions only when approved.</x:v>
      </x:c>
      <x:c r="C36" s="402"/>
      <x:c r="D36" s="402"/>
      <x:c r="E36" s="402"/>
      <x:c r="F36" s="402"/>
      <x:c r="G36" s="402"/>
      <x:c r="H36" s="402"/>
      <x:c r="I36" s="402"/>
      <x:c r="J36" s="402"/>
      <x:c r="K36" s="402"/>
      <x:c r="L36" s="402"/>
      <x:c r="M36" s="402"/>
      <x:c r="N36" s="402"/>
      <x:c r="O36" s="232"/>
      <x:c r="P36" s="232"/>
      <x:c r="Q36" s="232"/>
    </x:row>
    <x:row r="37">
      <x:c r="A37" s="400" t="str">
        <x:v>Growth discipline</x:v>
      </x:c>
      <x:c r="B37" s="401" t="str">
        <x:v>Contractor, support, marketing and event spending are tied to revenue or customer-volume triggers. No permanent human developer is assumed.</x:v>
      </x:c>
      <x:c r="C37" s="401"/>
      <x:c r="D37" s="401"/>
      <x:c r="E37" s="401"/>
      <x:c r="F37" s="401"/>
      <x:c r="G37" s="401"/>
      <x:c r="H37" s="401"/>
      <x:c r="I37" s="401"/>
      <x:c r="J37" s="401"/>
      <x:c r="K37" s="401"/>
      <x:c r="L37" s="401"/>
      <x:c r="M37" s="401"/>
      <x:c r="N37" s="401"/>
      <x:c r="O37" s="232"/>
      <x:c r="P37" s="232"/>
      <x:c r="Q37" s="232"/>
    </x:row>
    <x:row r="38">
      <x:c r="A38" s="326" t="str">
        <x:v>What replaces estimates</x:v>
      </x:c>
      <x:c r="B38" s="402" t="str">
        <x:v>Stripe/App Store actuals, vendor invoices, brief-level telemetry, paid subscriber counts, churn, collections, and support hours.</x:v>
      </x:c>
      <x:c r="C38" s="402"/>
      <x:c r="D38" s="402"/>
      <x:c r="E38" s="402"/>
      <x:c r="F38" s="402"/>
      <x:c r="G38" s="402"/>
      <x:c r="H38" s="402"/>
      <x:c r="I38" s="402"/>
      <x:c r="J38" s="402"/>
      <x:c r="K38" s="402"/>
      <x:c r="L38" s="402"/>
      <x:c r="M38" s="402"/>
      <x:c r="N38" s="402"/>
      <x:c r="O38" s="232"/>
      <x:c r="P38" s="232"/>
      <x:c r="Q38" s="232"/>
    </x:row>
    <x:row r="39">
      <x:c r="A39" s="400" t="str">
        <x:v>BD use</x:v>
      </x:c>
      <x:c r="B39" s="401" t="str">
        <x:v>Use the BD Handoff sheet and projected outputs to update the business plan. Public pricing or promotional commitments still require locked-decision compliance.</x:v>
      </x:c>
      <x:c r="C39" s="401"/>
      <x:c r="D39" s="401"/>
      <x:c r="E39" s="401"/>
      <x:c r="F39" s="401"/>
      <x:c r="G39" s="401"/>
      <x:c r="H39" s="401"/>
      <x:c r="I39" s="401"/>
      <x:c r="J39" s="401"/>
      <x:c r="K39" s="401"/>
      <x:c r="L39" s="401"/>
      <x:c r="M39" s="401"/>
      <x:c r="N39" s="401"/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N1"/>
    <x:mergeCell ref="A2:N2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C14"/>
    <x:mergeCell ref="A15:C16"/>
    <x:mergeCell ref="D14:F14"/>
    <x:mergeCell ref="D15:F16"/>
    <x:mergeCell ref="G14:I14"/>
    <x:mergeCell ref="G15:I16"/>
    <x:mergeCell ref="J14:L14"/>
    <x:mergeCell ref="J15:L16"/>
    <x:mergeCell ref="A18:D18"/>
    <x:mergeCell ref="A34:N34"/>
    <x:mergeCell ref="B35:N35"/>
    <x:mergeCell ref="B36:N36"/>
    <x:mergeCell ref="B37:N37"/>
    <x:mergeCell ref="B38:N38"/>
    <x:mergeCell ref="B39:N39"/>
  </x:mergeCells>
  <x:pageMargins left="0.7" right="0.7" top="0.75" bottom="0.75" header="0.3" footer="0.3"/>
  <x:drawing xmlns:r="http://schemas.openxmlformats.org/officeDocument/2006/relationships" r:id="R47f8e2fd0afc4069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28" hidden="0" customWidth="1"/>
    <x:col min="5" max="5" width="30" hidden="0" customWidth="1"/>
    <x:col min="6" max="6" width="22" hidden="0" customWidth="1"/>
    <x:col min="7" max="7" width="28" hidden="0" customWidth="1"/>
    <x:col min="8" max="8" width="36" hidden="0" customWidth="1"/>
  </x:cols>
  <x:sheetData>
    <x:row r="1" ht="28" customHeight="1">
      <x:c r="A1" s="416" t="str">
        <x:v>Finance → Business Development Handoff</x:v>
      </x:c>
      <x:c r="B1" s="416"/>
      <x:c r="C1" s="416"/>
      <x:c r="D1" s="416"/>
      <x:c r="E1" s="416"/>
      <x:c r="F1" s="416"/>
      <x:c r="G1" s="416"/>
      <x:c r="H1" s="416"/>
      <x:c r="I1" s="232"/>
      <x:c r="J1" s="232"/>
      <x:c r="K1" s="232"/>
      <x:c r="L1" s="232"/>
      <x:c r="M1" s="232"/>
      <x:c r="N1" s="232"/>
      <x:c r="O1" s="232"/>
      <x:c r="P1" s="232"/>
      <x:c r="Q1" s="232"/>
    </x:row>
    <x:row r="2">
      <x:c r="A2" s="412" t="str">
        <x:v>Document status: Projected operating plan for review. Not an approved budget and not a public pricing commitment.</x:v>
      </x:c>
      <x:c r="B2" s="412"/>
      <x:c r="C2" s="412"/>
      <x:c r="D2" s="412"/>
      <x:c r="E2" s="412"/>
      <x:c r="F2" s="412"/>
      <x:c r="G2" s="412"/>
      <x:c r="H2" s="412"/>
      <x:c r="I2" s="232"/>
      <x:c r="J2" s="232"/>
      <x:c r="K2" s="232"/>
      <x:c r="L2" s="232"/>
      <x:c r="M2" s="232"/>
      <x:c r="N2" s="232"/>
      <x:c r="O2" s="232"/>
      <x:c r="P2" s="232"/>
      <x:c r="Q2" s="232"/>
    </x:row>
    <x:row r="3">
      <x:c r="A3" s="234"/>
      <x:c r="B3" s="234"/>
      <x:c r="C3" s="234"/>
      <x:c r="D3" s="234"/>
      <x:c r="E3" s="234"/>
      <x:c r="F3" s="234"/>
      <x:c r="G3" s="234"/>
      <x:c r="H3" s="234"/>
      <x:c r="I3" s="232"/>
      <x:c r="J3" s="232"/>
      <x:c r="K3" s="232"/>
      <x:c r="L3" s="232"/>
      <x:c r="M3" s="232"/>
      <x:c r="N3" s="232"/>
      <x:c r="O3" s="232"/>
      <x:c r="P3" s="232"/>
      <x:c r="Q3" s="232"/>
    </x:row>
    <x:row r="4" ht="20" customHeight="1">
      <x:c r="A4" s="196" t="str">
        <x:v>BUSINESS-PLAN ALIGNMENT</x:v>
      </x:c>
      <x:c r="B4" s="196"/>
      <x:c r="C4" s="196"/>
      <x:c r="D4" s="196"/>
      <x:c r="E4" s="196"/>
      <x:c r="F4" s="196"/>
      <x:c r="G4" s="196"/>
      <x:c r="H4" s="196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>
      <x:c r="A5" s="197" t="str">
        <x:v>Item</x:v>
      </x:c>
      <x:c r="B5" s="197" t="str">
        <x:v>Finance Treatment</x:v>
      </x:c>
      <x:c r="C5" s="197" t="str">
        <x:v>Business Plan / Decision</x:v>
      </x:c>
      <x:c r="D5" s="197" t="str">
        <x:v>Status</x:v>
      </x:c>
      <x:c r="E5" s="197" t="str">
        <x:v>Owner</x:v>
      </x:c>
      <x:c r="F5" s="197" t="str">
        <x:v>Finance Impact</x:v>
      </x:c>
      <x:c r="G5" s="197" t="str">
        <x:v>Source</x:v>
      </x:c>
      <x:c r="H5" s="197" t="str">
        <x:v>Action</x:v>
      </x:c>
      <x:c r="I5" s="232"/>
      <x:c r="J5" s="232"/>
      <x:c r="K5" s="232"/>
      <x:c r="L5" s="232"/>
      <x:c r="M5" s="232"/>
      <x:c r="N5" s="232"/>
      <x:c r="O5" s="232"/>
      <x:c r="P5" s="232"/>
      <x:c r="Q5" s="232"/>
    </x:row>
    <x:row r="6">
      <x:c r="A6" s="234" t="str">
        <x:v>Founder model</x:v>
      </x:c>
      <x:c r="B6" s="234" t="str">
        <x:v>No founder salary; no standing human developer</x:v>
      </x:c>
      <x:c r="C6" s="234" t="str">
        <x:v>Solo founder, bootstrapped through validation</x:v>
      </x:c>
      <x:c r="D6" s="234" t="str">
        <x:v>Aligned</x:v>
      </x:c>
      <x:c r="E6" s="234" t="str">
        <x:v>Founder / Finance</x:v>
      </x:c>
      <x:c r="F6" s="234" t="str">
        <x:v>Preserves cash; tracks contractor triggers</x:v>
      </x:c>
      <x:c r="G6" s="234" t="str">
        <x:v>DECISION 003</x:v>
      </x:c>
      <x:c r="H6" s="234" t="str">
        <x:v>Keep until revenue/support trigger</x:v>
      </x:c>
      <x:c r="I6" s="232"/>
      <x:c r="J6" s="232"/>
      <x:c r="K6" s="232"/>
      <x:c r="L6" s="232"/>
      <x:c r="M6" s="232"/>
      <x:c r="N6" s="232"/>
      <x:c r="O6" s="232"/>
      <x:c r="P6" s="232"/>
      <x:c r="Q6" s="232"/>
    </x:row>
    <x:row r="7">
      <x:c r="A7" s="234" t="str">
        <x:v>Launch market</x:v>
      </x:c>
      <x:c r="B7" s="234" t="str">
        <x:v>Forecast assumes construction and commercial field sales</x:v>
      </x:c>
      <x:c r="C7" s="234" t="str">
        <x:v>Beachhead market locked</x:v>
      </x:c>
      <x:c r="D7" s="234" t="str">
        <x:v>Aligned</x:v>
      </x:c>
      <x:c r="E7" s="234" t="str">
        <x:v>BD</x:v>
      </x:c>
      <x:c r="F7" s="234" t="str">
        <x:v>Supports focused acquisition assumptions</x:v>
      </x:c>
      <x:c r="G7" s="234" t="str">
        <x:v>DECISION 004</x:v>
      </x:c>
      <x:c r="H7" s="234" t="str">
        <x:v>Use beta feedback from target users</x:v>
      </x:c>
      <x:c r="I7" s="232"/>
      <x:c r="J7" s="232"/>
      <x:c r="K7" s="232"/>
      <x:c r="L7" s="232"/>
      <x:c r="M7" s="232"/>
      <x:c r="N7" s="232"/>
      <x:c r="O7" s="232"/>
      <x:c r="P7" s="232"/>
      <x:c r="Q7" s="232"/>
    </x:row>
    <x:row r="8">
      <x:c r="A8" s="234" t="str">
        <x:v>Pricing</x:v>
      </x:c>
      <x:c r="B8" s="234" t="str">
        <x:v>Uses $59 / $119 / $349 / custom enterprise placeholder</x:v>
      </x:c>
      <x:c r="C8" s="234" t="str">
        <x:v>Four-tier SaaS pricing ranges</x:v>
      </x:c>
      <x:c r="D8" s="234" t="str">
        <x:v>Aligned / projected</x:v>
      </x:c>
      <x:c r="E8" s="234" t="str">
        <x:v>BD / Finance</x:v>
      </x:c>
      <x:c r="F8" s="234" t="str">
        <x:v>Drives revenue build</x:v>
      </x:c>
      <x:c r="G8" s="234" t="str">
        <x:v>DECISION 005</x:v>
      </x:c>
      <x:c r="H8" s="234" t="str">
        <x:v>Approve exact commercial prices before launch</x:v>
      </x:c>
      <x:c r="I8" s="232"/>
      <x:c r="J8" s="232"/>
      <x:c r="K8" s="232"/>
      <x:c r="L8" s="232"/>
      <x:c r="M8" s="232"/>
      <x:c r="N8" s="232"/>
      <x:c r="O8" s="232"/>
      <x:c r="P8" s="232"/>
      <x:c r="Q8" s="232"/>
    </x:row>
    <x:row r="9">
      <x:c r="A9" s="234" t="str">
        <x:v>Trial</x:v>
      </x:c>
      <x:c r="B9" s="234" t="str">
        <x:v>Paid counts begin after 30-day free trial</x:v>
      </x:c>
      <x:c r="C9" s="234" t="str">
        <x:v>30-day free trial locked</x:v>
      </x:c>
      <x:c r="D9" s="234" t="str">
        <x:v>Aligned</x:v>
      </x:c>
      <x:c r="E9" s="234" t="str">
        <x:v>BD / Finance</x:v>
      </x:c>
      <x:c r="F9" s="234" t="str">
        <x:v>Delays cash conversion</x:v>
      </x:c>
      <x:c r="G9" s="234" t="str">
        <x:v>DECISION 005</x:v>
      </x:c>
      <x:c r="H9" s="234" t="str">
        <x:v>Track trial-to-paid conversion</x:v>
      </x:c>
      <x:c r="I9" s="232"/>
      <x:c r="J9" s="232"/>
      <x:c r="K9" s="232"/>
      <x:c r="L9" s="232"/>
      <x:c r="M9" s="232"/>
      <x:c r="N9" s="232"/>
      <x:c r="O9" s="232"/>
      <x:c r="P9" s="232"/>
      <x:c r="Q9" s="232"/>
    </x:row>
    <x:row r="10">
      <x:c r="A10" s="234" t="str">
        <x:v>Hiring trigger</x:v>
      </x:c>
      <x:c r="B10" s="234" t="str">
        <x:v>Contractor starts at $10K MRR; scale level at $20K</x:v>
      </x:c>
      <x:c r="C10" s="234" t="str">
        <x:v>Hire at $10–15K MRR or support overload</x:v>
      </x:c>
      <x:c r="D10" s="234" t="str">
        <x:v>Aligned / conservative</x:v>
      </x:c>
      <x:c r="E10" s="234" t="str">
        <x:v>Founder / Dev / Finance</x:v>
      </x:c>
      <x:c r="F10" s="234" t="str">
        <x:v>Creates controlled cost step-up</x:v>
      </x:c>
      <x:c r="G10" s="234" t="str">
        <x:v>DECISION 003</x:v>
      </x:c>
      <x:c r="H10" s="234" t="str">
        <x:v>Review monthly</x:v>
      </x:c>
      <x:c r="I10" s="232"/>
      <x:c r="J10" s="232"/>
      <x:c r="K10" s="232"/>
      <x:c r="L10" s="232"/>
      <x:c r="M10" s="232"/>
      <x:c r="N10" s="232"/>
      <x:c r="O10" s="232"/>
      <x:c r="P10" s="232"/>
      <x:c r="Q10" s="232"/>
    </x:row>
    <x:row r="11">
      <x:c r="A11" s="234"/>
      <x:c r="B11" s="234"/>
      <x:c r="C11" s="234"/>
      <x:c r="D11" s="234"/>
      <x:c r="E11" s="234"/>
      <x:c r="F11" s="234"/>
      <x:c r="G11" s="234"/>
      <x:c r="H11" s="234"/>
      <x:c r="I11" s="232"/>
      <x:c r="J11" s="232"/>
      <x:c r="K11" s="232"/>
      <x:c r="L11" s="232"/>
      <x:c r="M11" s="232"/>
      <x:c r="N11" s="232"/>
      <x:c r="O11" s="232"/>
      <x:c r="P11" s="232"/>
      <x:c r="Q11" s="232"/>
    </x:row>
    <x:row r="12" ht="20" customHeight="1">
      <x:c r="A12" s="196" t="str">
        <x:v>PROJECTED BASE-CASE OUTPUTS</x:v>
      </x:c>
      <x:c r="B12" s="196"/>
      <x:c r="C12" s="196"/>
      <x:c r="D12" s="196"/>
      <x:c r="E12" s="196"/>
      <x:c r="F12" s="196"/>
      <x:c r="G12" s="196"/>
      <x:c r="H12" s="196"/>
      <x:c r="I12" s="232"/>
      <x:c r="J12" s="232"/>
      <x:c r="K12" s="232"/>
      <x:c r="L12" s="232"/>
      <x:c r="M12" s="232"/>
      <x:c r="N12" s="232"/>
      <x:c r="O12" s="232"/>
      <x:c r="P12" s="232"/>
      <x:c r="Q12" s="232"/>
    </x:row>
    <x:row r="13">
      <x:c r="A13" s="197" t="str">
        <x:v>Metric</x:v>
      </x:c>
      <x:c r="B13" s="197" t="str">
        <x:v>Projected Result</x:v>
      </x:c>
      <x:c r="C13" s="197" t="str">
        <x:v>Status</x:v>
      </x:c>
      <x:c r="D13" s="197" t="str">
        <x:v>Interpretation</x:v>
      </x:c>
      <x:c r="E13" s="234"/>
      <x:c r="F13" s="234"/>
      <x:c r="G13" s="234"/>
      <x:c r="H13" s="234"/>
      <x:c r="I13" s="232"/>
      <x:c r="J13" s="232"/>
      <x:c r="K13" s="232"/>
      <x:c r="L13" s="232"/>
      <x:c r="M13" s="232"/>
      <x:c r="N13" s="232"/>
      <x:c r="O13" s="232"/>
      <x:c r="P13" s="232"/>
      <x:c r="Q13" s="232"/>
    </x:row>
    <x:row r="14">
      <x:c r="A14" s="234" t="str">
        <x:v>Forecast Period</x:v>
      </x:c>
      <x:c r="B14" s="234" t="str">
        <x:v>Aug 2026 – Jul 2027</x:v>
      </x:c>
      <x:c r="C14" s="234" t="str">
        <x:v>Projected</x:v>
      </x:c>
      <x:c r="D14" s="234" t="str">
        <x:v>First 12 months after internal beta</x:v>
      </x:c>
      <x:c r="E14" s="234"/>
      <x:c r="F14" s="234"/>
      <x:c r="G14" s="234"/>
      <x:c r="H14" s="234"/>
      <x:c r="I14" s="232"/>
      <x:c r="J14" s="232"/>
      <x:c r="K14" s="232"/>
      <x:c r="L14" s="232"/>
      <x:c r="M14" s="232"/>
      <x:c r="N14" s="232"/>
      <x:c r="O14" s="232"/>
      <x:c r="P14" s="232"/>
      <x:c r="Q14" s="232"/>
    </x:row>
    <x:row r="15">
      <x:c r="A15" s="234" t="str">
        <x:v>Paid Launch</x:v>
      </x:c>
      <x:c r="B15" s="234" t="str">
        <x:v>Oct 2026</x:v>
      </x:c>
      <x:c r="C15" s="234" t="str">
        <x:v>Estimated</x:v>
      </x:c>
      <x:c r="D15" s="234" t="str">
        <x:v>Replace after TestFlight readiness is known</x:v>
      </x:c>
      <x:c r="E15" s="234"/>
      <x:c r="F15" s="234"/>
      <x:c r="G15" s="234"/>
      <x:c r="H15" s="234"/>
      <x:c r="I15" s="232"/>
      <x:c r="J15" s="232"/>
      <x:c r="K15" s="232"/>
      <x:c r="L15" s="232"/>
      <x:c r="M15" s="232"/>
      <x:c r="N15" s="232"/>
      <x:c r="O15" s="232"/>
      <x:c r="P15" s="232"/>
      <x:c r="Q15" s="232"/>
    </x:row>
    <x:row r="16">
      <x:c r="A16" s="234" t="str">
        <x:v>Starting Cash</x:v>
      </x:c>
      <x:c r="B16" s="325" t="n">
        <x:f>'Assumptions'!B9</x:f>
        <x:v>5000</x:v>
      </x:c>
      <x:c r="C16" s="234" t="str">
        <x:v>Pending confirmation</x:v>
      </x:c>
      <x:c r="D16" s="234" t="str">
        <x:v>Founder decision</x:v>
      </x:c>
      <x:c r="E16" s="234"/>
      <x:c r="F16" s="234"/>
      <x:c r="G16" s="234"/>
      <x:c r="H16" s="234"/>
      <x:c r="I16" s="232"/>
      <x:c r="J16" s="232"/>
      <x:c r="K16" s="232"/>
      <x:c r="L16" s="232"/>
      <x:c r="M16" s="232"/>
      <x:c r="N16" s="232"/>
      <x:c r="O16" s="232"/>
      <x:c r="P16" s="232"/>
      <x:c r="Q16" s="232"/>
    </x:row>
    <x:row r="17">
      <x:c r="A17" s="234" t="str">
        <x:v>Year 1 Revenue</x:v>
      </x:c>
      <x:c r="B17" s="325" t="n">
        <x:f>'Projected P&amp;L'!N11</x:f>
        <x:v>94575</x:v>
      </x:c>
      <x:c r="C17" s="234" t="str">
        <x:v>Projected</x:v>
      </x:c>
      <x:c r="D17" s="234" t="str">
        <x:v>Subscription revenue only</x:v>
      </x:c>
      <x:c r="E17" s="234"/>
      <x:c r="F17" s="234"/>
      <x:c r="G17" s="234"/>
      <x:c r="H17" s="234"/>
      <x:c r="I17" s="232"/>
      <x:c r="J17" s="232"/>
      <x:c r="K17" s="232"/>
      <x:c r="L17" s="232"/>
      <x:c r="M17" s="232"/>
      <x:c r="N17" s="232"/>
      <x:c r="O17" s="232"/>
      <x:c r="P17" s="232"/>
      <x:c r="Q17" s="232"/>
    </x:row>
    <x:row r="18">
      <x:c r="A18" s="234" t="str">
        <x:v>Month 12 MRR</x:v>
      </x:c>
      <x:c r="B18" s="325" t="n">
        <x:f>'Revenue Build'!M19</x:f>
        <x:v>25560</x:v>
      </x:c>
      <x:c r="C18" s="234" t="str">
        <x:v>Projected</x:v>
      </x:c>
      <x:c r="D18" s="234" t="str">
        <x:v>Run-rate entering year 2</x:v>
      </x:c>
      <x:c r="E18" s="234"/>
      <x:c r="F18" s="234"/>
      <x:c r="G18" s="234"/>
      <x:c r="H18" s="234"/>
      <x:c r="I18" s="232"/>
      <x:c r="J18" s="232"/>
      <x:c r="K18" s="232"/>
      <x:c r="L18" s="232"/>
      <x:c r="M18" s="232"/>
      <x:c r="N18" s="232"/>
      <x:c r="O18" s="232"/>
      <x:c r="P18" s="232"/>
      <x:c r="Q18" s="232"/>
    </x:row>
    <x:row r="19">
      <x:c r="A19" s="234" t="str">
        <x:v>Month 12 Paid Accounts</x:v>
      </x:c>
      <x:c r="B19" s="413" t="n">
        <x:f>'Revenue Build'!M11</x:f>
        <x:v>301</x:v>
      </x:c>
      <x:c r="C19" s="234" t="str">
        <x:v>Projected</x:v>
      </x:c>
      <x:c r="D19" s="234" t="str">
        <x:v>Across all tiers</x:v>
      </x:c>
      <x:c r="E19" s="234"/>
      <x:c r="F19" s="234"/>
      <x:c r="G19" s="234"/>
      <x:c r="H19" s="234"/>
      <x:c r="I19" s="232"/>
      <x:c r="J19" s="232"/>
      <x:c r="K19" s="232"/>
      <x:c r="L19" s="232"/>
      <x:c r="M19" s="232"/>
      <x:c r="N19" s="232"/>
      <x:c r="O19" s="232"/>
      <x:c r="P19" s="232"/>
      <x:c r="Q19" s="232"/>
    </x:row>
    <x:row r="20">
      <x:c r="A20" s="234" t="str">
        <x:v>Year 1 EBITDA</x:v>
      </x:c>
      <x:c r="B20" s="325" t="n">
        <x:f>'Projected P&amp;L'!N39</x:f>
        <x:v>26771.323999999993</x:v>
      </x:c>
      <x:c r="C20" s="234" t="str">
        <x:v>Projected</x:v>
      </x:c>
      <x:c r="D20" s="234" t="str">
        <x:v>Before tax and founder compensation</x:v>
      </x:c>
      <x:c r="E20" s="234"/>
      <x:c r="F20" s="234"/>
      <x:c r="G20" s="234"/>
      <x:c r="H20" s="234"/>
      <x:c r="I20" s="232"/>
      <x:c r="J20" s="232"/>
      <x:c r="K20" s="232"/>
      <x:c r="L20" s="232"/>
      <x:c r="M20" s="232"/>
      <x:c r="N20" s="232"/>
      <x:c r="O20" s="232"/>
      <x:c r="P20" s="232"/>
      <x:c r="Q20" s="232"/>
    </x:row>
    <x:row r="21">
      <x:c r="A21" s="234" t="str">
        <x:v>Capital Gap to Buffer</x:v>
      </x:c>
      <x:c r="B21" s="325" t="n">
        <x:f>'Cash Forecast'!N13</x:f>
        <x:v>2696.872</x:v>
      </x:c>
      <x:c r="C21" s="234" t="str">
        <x:v>Projected</x:v>
      </x:c>
      <x:c r="D21" s="234" t="str">
        <x:v>Maximum gap needed to maintain minimum cash buffer</x:v>
      </x:c>
      <x:c r="E21" s="234"/>
      <x:c r="F21" s="234"/>
      <x:c r="G21" s="234"/>
      <x:c r="H21" s="234"/>
      <x:c r="I21" s="232"/>
      <x:c r="J21" s="232"/>
      <x:c r="K21" s="232"/>
      <x:c r="L21" s="232"/>
      <x:c r="M21" s="232"/>
      <x:c r="N21" s="232"/>
      <x:c r="O21" s="232"/>
      <x:c r="P21" s="232"/>
      <x:c r="Q21" s="232"/>
    </x:row>
    <x:row r="22">
      <x:c r="A22" s="234"/>
      <x:c r="B22" s="234"/>
      <x:c r="C22" s="234"/>
      <x:c r="D22" s="234"/>
      <x:c r="E22" s="234"/>
      <x:c r="F22" s="234"/>
      <x:c r="G22" s="234"/>
      <x:c r="H22" s="234"/>
      <x:c r="I22" s="232"/>
      <x:c r="J22" s="232"/>
      <x:c r="K22" s="232"/>
      <x:c r="L22" s="232"/>
      <x:c r="M22" s="232"/>
      <x:c r="N22" s="232"/>
      <x:c r="O22" s="232"/>
      <x:c r="P22" s="232"/>
      <x:c r="Q22" s="232"/>
    </x:row>
    <x:row r="23" ht="20" customHeight="1">
      <x:c r="A23" s="196" t="str">
        <x:v>DECISIONS NEEDED BEFORE THIS BECOMES AN APPROVED BUDGET</x:v>
      </x:c>
      <x:c r="B23" s="196"/>
      <x:c r="C23" s="196"/>
      <x:c r="D23" s="196"/>
      <x:c r="E23" s="196"/>
      <x:c r="F23" s="196"/>
      <x:c r="G23" s="196"/>
      <x:c r="H23" s="196"/>
      <x:c r="I23" s="232"/>
      <x:c r="J23" s="232"/>
      <x:c r="K23" s="232"/>
      <x:c r="L23" s="232"/>
      <x:c r="M23" s="232"/>
      <x:c r="N23" s="232"/>
      <x:c r="O23" s="232"/>
      <x:c r="P23" s="232"/>
      <x:c r="Q23" s="232"/>
    </x:row>
    <x:row r="24">
      <x:c r="A24" s="197" t="str">
        <x:v>Priority</x:v>
      </x:c>
      <x:c r="B24" s="197" t="str">
        <x:v>Decision Required</x:v>
      </x:c>
      <x:c r="C24" s="197" t="str">
        <x:v>Owner</x:v>
      </x:c>
      <x:c r="D24" s="197" t="str">
        <x:v>Finance Recommendation</x:v>
      </x:c>
      <x:c r="E24" s="197" t="str">
        <x:v>Effect if Delayed</x:v>
      </x:c>
      <x:c r="F24" s="197" t="str">
        <x:v>Status</x:v>
      </x:c>
      <x:c r="G24" s="197" t="str">
        <x:v>Due</x:v>
      </x:c>
      <x:c r="H24" s="197" t="str">
        <x:v>RFI / Notes</x:v>
      </x:c>
      <x:c r="I24" s="232"/>
      <x:c r="J24" s="232"/>
      <x:c r="K24" s="232"/>
      <x:c r="L24" s="232"/>
      <x:c r="M24" s="232"/>
      <x:c r="N24" s="232"/>
      <x:c r="O24" s="232"/>
      <x:c r="P24" s="232"/>
      <x:c r="Q24" s="232"/>
    </x:row>
    <x:row r="25">
      <x:c r="A25" s="234" t="n">
        <x:v>1</x:v>
      </x:c>
      <x:c r="B25" s="234" t="str">
        <x:v>Confirm paid commercial launch month</x:v>
      </x:c>
      <x:c r="C25" s="234" t="str">
        <x:v>Founder / BD / Dev</x:v>
      </x:c>
      <x:c r="D25" s="234" t="str">
        <x:v>Keep October 2026 as planning assumption until TestFlight schedule is confirmed</x:v>
      </x:c>
      <x:c r="E25" s="234" t="str">
        <x:v>Revenue timing remains uncertain</x:v>
      </x:c>
      <x:c r="F25" s="234" t="str">
        <x:v>Open</x:v>
      </x:c>
      <x:c r="G25" s="236" t="n">
        <x:v>46249</x:v>
      </x:c>
      <x:c r="H25" s="234" t="str"/>
      <x:c r="I25" s="232"/>
      <x:c r="J25" s="232"/>
      <x:c r="K25" s="232"/>
      <x:c r="L25" s="232"/>
      <x:c r="M25" s="232"/>
      <x:c r="N25" s="232"/>
      <x:c r="O25" s="232"/>
      <x:c r="P25" s="232"/>
      <x:c r="Q25" s="232"/>
    </x:row>
    <x:row r="26">
      <x:c r="A26" s="234" t="n">
        <x:v>2</x:v>
      </x:c>
      <x:c r="B26" s="234" t="str">
        <x:v>Approve initial startup capital and minimum cash buffer</x:v>
      </x:c>
      <x:c r="C26" s="234" t="str">
        <x:v>Founder</x:v>
      </x:c>
      <x:c r="D26" s="234" t="str">
        <x:v>$5,000 starting cash plus $2,000 operating buffer target</x:v>
      </x:c>
      <x:c r="E26" s="234" t="str">
        <x:v>Cannot authorize spend or assess runway</x:v>
      </x:c>
      <x:c r="F26" s="234" t="str">
        <x:v>Open</x:v>
      </x:c>
      <x:c r="G26" s="236" t="n">
        <x:v>46234</x:v>
      </x:c>
      <x:c r="H26" s="234" t="str"/>
      <x:c r="I26" s="232"/>
      <x:c r="J26" s="232"/>
      <x:c r="K26" s="232"/>
      <x:c r="L26" s="232"/>
      <x:c r="M26" s="232"/>
      <x:c r="N26" s="232"/>
      <x:c r="O26" s="232"/>
      <x:c r="P26" s="232"/>
      <x:c r="Q26" s="232"/>
    </x:row>
    <x:row r="27">
      <x:c r="A27" s="234" t="n">
        <x:v>3</x:v>
      </x:c>
      <x:c r="B27" s="234" t="str">
        <x:v>Approve exact launch prices inside locked ranges</x:v>
      </x:c>
      <x:c r="C27" s="234" t="str">
        <x:v>Founder / BD</x:v>
      </x:c>
      <x:c r="D27" s="234" t="str">
        <x:v>Use $59 Solo, $119 Professional, $349 Team for planning</x:v>
      </x:c>
      <x:c r="E27" s="234" t="str">
        <x:v>Business plan and revenue forecast remain provisional</x:v>
      </x:c>
      <x:c r="F27" s="234" t="str">
        <x:v>Open</x:v>
      </x:c>
      <x:c r="G27" s="236" t="n">
        <x:v>46266</x:v>
      </x:c>
      <x:c r="H27" s="234" t="str"/>
      <x:c r="I27" s="232"/>
      <x:c r="J27" s="232"/>
      <x:c r="K27" s="232"/>
      <x:c r="L27" s="232"/>
      <x:c r="M27" s="232"/>
      <x:c r="N27" s="232"/>
      <x:c r="O27" s="232"/>
      <x:c r="P27" s="232"/>
      <x:c r="Q27" s="232"/>
    </x:row>
    <x:row r="28">
      <x:c r="A28" s="234" t="n">
        <x:v>4</x:v>
      </x:c>
      <x:c r="B28" s="234" t="str">
        <x:v>Approve channel strategy: web vs App Store billing</x:v>
      </x:c>
      <x:c r="C28" s="234" t="str">
        <x:v>Founder / BD / Dev</x:v>
      </x:c>
      <x:c r="D28" s="234" t="str">
        <x:v>Target direct web billing where permitted; keep mobile option</x:v>
      </x:c>
      <x:c r="E28" s="234" t="str">
        <x:v>Fee and margin forecast remains estimated</x:v>
      </x:c>
      <x:c r="F28" s="234" t="str">
        <x:v>Open</x:v>
      </x:c>
      <x:c r="G28" s="236" t="n">
        <x:v>46266</x:v>
      </x:c>
      <x:c r="H28" s="234" t="str"/>
      <x:c r="I28" s="232"/>
      <x:c r="J28" s="232"/>
      <x:c r="K28" s="232"/>
      <x:c r="L28" s="232"/>
      <x:c r="M28" s="232"/>
      <x:c r="N28" s="232"/>
      <x:c r="O28" s="232"/>
      <x:c r="P28" s="232"/>
      <x:c r="Q28" s="232"/>
    </x:row>
    <x:row r="29">
      <x:c r="A29" s="234" t="n">
        <x:v>5</x:v>
      </x:c>
      <x:c r="B29" s="234" t="str">
        <x:v>Approve annual-plan policy and discount</x:v>
      </x:c>
      <x:c r="C29" s="234" t="str">
        <x:v>Founder / BD / Finance</x:v>
      </x:c>
      <x:c r="D29" s="234" t="str">
        <x:v>Do not include annual discount until modeled and approved</x:v>
      </x:c>
      <x:c r="E29" s="234" t="str">
        <x:v>No annual prepayment cash in forecast</x:v>
      </x:c>
      <x:c r="F29" s="234" t="str">
        <x:v>Open</x:v>
      </x:c>
      <x:c r="G29" s="236" t="n">
        <x:v>46280</x:v>
      </x:c>
      <x:c r="H29" s="234" t="str"/>
      <x:c r="I29" s="232"/>
      <x:c r="J29" s="232"/>
      <x:c r="K29" s="232"/>
      <x:c r="L29" s="232"/>
      <x:c r="M29" s="232"/>
      <x:c r="N29" s="232"/>
      <x:c r="O29" s="232"/>
      <x:c r="P29" s="232"/>
      <x:c r="Q29" s="232"/>
    </x:row>
    <x:row r="30">
      <x:c r="A30" s="234" t="n">
        <x:v>6</x:v>
      </x:c>
      <x:c r="B30" s="234" t="str">
        <x:v>Confirm trade-show spending trigger</x:v>
      </x:c>
      <x:c r="C30" s="234" t="str">
        <x:v>Founder / BD</x:v>
      </x:c>
      <x:c r="D30" s="234" t="str">
        <x:v>No spend unless qualified opportunity, objective, and budget approval exist</x:v>
      </x:c>
      <x:c r="E30" s="234" t="str">
        <x:v>June reserve stays uncommitted</x:v>
      </x:c>
      <x:c r="F30" s="234" t="str">
        <x:v>Open</x:v>
      </x:c>
      <x:c r="G30" s="236" t="n">
        <x:v>46447</x:v>
      </x:c>
      <x:c r="H30" s="234" t="str"/>
      <x:c r="I30" s="232"/>
      <x:c r="J30" s="232"/>
      <x:c r="K30" s="232"/>
      <x:c r="L30" s="232"/>
      <x:c r="M30" s="232"/>
      <x:c r="N30" s="232"/>
      <x:c r="O30" s="232"/>
      <x:c r="P30" s="232"/>
      <x:c r="Q30" s="232"/>
    </x:row>
    <x:row r="31">
      <x:c r="A31" s="234" t="n">
        <x:v>7</x:v>
      </x:c>
      <x:c r="B31" s="234" t="str">
        <x:v>Commit Finance files to repository and update TEAM_SYNC</x:v>
      </x:c>
      <x:c r="C31" s="234" t="str">
        <x:v>Founder / Dev</x:v>
      </x:c>
      <x:c r="D31" s="234" t="str">
        <x:v>Create /finance source-of-truth directory</x:v>
      </x:c>
      <x:c r="E31" s="234" t="str">
        <x:v>Finance remains outside company operating documents</x:v>
      </x:c>
      <x:c r="F31" s="234" t="str">
        <x:v>Open</x:v>
      </x:c>
      <x:c r="G31" s="236" t="n">
        <x:v>46235</x:v>
      </x:c>
      <x:c r="H31" s="234" t="str"/>
      <x:c r="I31" s="232"/>
      <x:c r="J31" s="232"/>
      <x:c r="K31" s="232"/>
      <x:c r="L31" s="232"/>
      <x:c r="M31" s="232"/>
      <x:c r="N31" s="232"/>
      <x:c r="O31" s="232"/>
      <x:c r="P31" s="232"/>
      <x:c r="Q31" s="232"/>
    </x:row>
    <x:row r="32">
      <x:c r="A32" s="234"/>
      <x:c r="B32" s="234"/>
      <x:c r="C32" s="234"/>
      <x:c r="D32" s="234"/>
      <x:c r="E32" s="234"/>
      <x:c r="F32" s="234"/>
      <x:c r="G32" s="234"/>
      <x:c r="H32" s="234"/>
      <x:c r="I32" s="232"/>
      <x:c r="J32" s="232"/>
      <x:c r="K32" s="232"/>
      <x:c r="L32" s="232"/>
      <x:c r="M32" s="232"/>
      <x:c r="N32" s="232"/>
      <x:c r="O32" s="232"/>
      <x:c r="P32" s="232"/>
      <x:c r="Q32" s="232"/>
    </x:row>
    <x:row r="33" ht="20" customHeight="1">
      <x:c r="A33" s="196" t="str">
        <x:v>FILES FOR BUSINESS-PLAN UPDATE</x:v>
      </x:c>
      <x:c r="B33" s="196"/>
      <x:c r="C33" s="196"/>
      <x:c r="D33" s="196"/>
      <x:c r="E33" s="196"/>
      <x:c r="F33" s="196"/>
      <x:c r="G33" s="196"/>
      <x:c r="H33" s="196"/>
      <x:c r="I33" s="232"/>
      <x:c r="J33" s="232"/>
      <x:c r="K33" s="232"/>
      <x:c r="L33" s="232"/>
      <x:c r="M33" s="232"/>
      <x:c r="N33" s="232"/>
      <x:c r="O33" s="232"/>
      <x:c r="P33" s="232"/>
      <x:c r="Q33" s="232"/>
    </x:row>
    <x:row r="34">
      <x:c r="A34" s="197" t="str">
        <x:v>File / Sheet</x:v>
      </x:c>
      <x:c r="B34" s="197" t="str">
        <x:v>Purpose</x:v>
      </x:c>
      <x:c r="C34" s="197" t="str">
        <x:v>Owner</x:v>
      </x:c>
      <x:c r="D34" s="197" t="str">
        <x:v>Status</x:v>
      </x:c>
      <x:c r="E34" s="197" t="str">
        <x:v>Source of Truth</x:v>
      </x:c>
      <x:c r="F34" s="197" t="str">
        <x:v>Update Frequency</x:v>
      </x:c>
      <x:c r="G34" s="197" t="str">
        <x:v>Approval</x:v>
      </x:c>
      <x:c r="H34" s="197" t="str">
        <x:v>Next Step</x:v>
      </x:c>
      <x:c r="I34" s="232"/>
      <x:c r="J34" s="232"/>
      <x:c r="K34" s="232"/>
      <x:c r="L34" s="232"/>
      <x:c r="M34" s="232"/>
      <x:c r="N34" s="232"/>
      <x:c r="O34" s="232"/>
      <x:c r="P34" s="232"/>
      <x:c r="Q34" s="232"/>
    </x:row>
    <x:row r="35">
      <x:c r="A35" s="234" t="str">
        <x:v>Bobert_Projected_Budget_PnL_v1.0.xlsx</x:v>
      </x:c>
      <x:c r="B35" s="234" t="str">
        <x:v>Working calculations and projected P&amp;L</x:v>
      </x:c>
      <x:c r="C35" s="234" t="str">
        <x:v>Finance</x:v>
      </x:c>
      <x:c r="D35" s="234" t="str">
        <x:v>Delivered locally</x:v>
      </x:c>
      <x:c r="E35" s="234" t="str">
        <x:v>Pending GitHub / finance placement</x:v>
      </x:c>
      <x:c r="F35" s="234" t="str">
        <x:v>Monthly</x:v>
      </x:c>
      <x:c r="G35" s="234" t="str">
        <x:v>Founder</x:v>
      </x:c>
      <x:c r="H35" s="234" t="str">
        <x:v>Review assumptions and approve base case</x:v>
      </x:c>
      <x:c r="I35" s="232"/>
      <x:c r="J35" s="232"/>
      <x:c r="K35" s="232"/>
      <x:c r="L35" s="232"/>
      <x:c r="M35" s="232"/>
      <x:c r="N35" s="232"/>
      <x:c r="O35" s="232"/>
      <x:c r="P35" s="232"/>
      <x:c r="Q35" s="232"/>
    </x:row>
    <x:row r="36">
      <x:c r="A36" s="234" t="str">
        <x:v>Dashboard</x:v>
      </x:c>
      <x:c r="B36" s="234" t="str">
        <x:v>Executive projected metrics</x:v>
      </x:c>
      <x:c r="C36" s="234" t="str">
        <x:v>Finance</x:v>
      </x:c>
      <x:c r="D36" s="234" t="str">
        <x:v>Complete</x:v>
      </x:c>
      <x:c r="E36" s="234" t="str">
        <x:v>Workbook</x:v>
      </x:c>
      <x:c r="F36" s="234" t="str">
        <x:v>Monthly</x:v>
      </x:c>
      <x:c r="G36" s="234" t="str">
        <x:v>Founder / BD</x:v>
      </x:c>
      <x:c r="H36" s="234" t="str">
        <x:v>Use for business-plan financial section</x:v>
      </x:c>
      <x:c r="I36" s="232"/>
      <x:c r="J36" s="232"/>
      <x:c r="K36" s="232"/>
      <x:c r="L36" s="232"/>
      <x:c r="M36" s="232"/>
      <x:c r="N36" s="232"/>
      <x:c r="O36" s="232"/>
      <x:c r="P36" s="232"/>
      <x:c r="Q36" s="232"/>
    </x:row>
    <x:row r="37">
      <x:c r="A37" s="234" t="str">
        <x:v>Projected P&amp;L</x:v>
      </x:c>
      <x:c r="B37" s="234" t="str">
        <x:v>Monthly revenue, COGS, gross profit and EBITDA</x:v>
      </x:c>
      <x:c r="C37" s="234" t="str">
        <x:v>Finance</x:v>
      </x:c>
      <x:c r="D37" s="234" t="str">
        <x:v>Complete</x:v>
      </x:c>
      <x:c r="E37" s="234" t="str">
        <x:v>Workbook</x:v>
      </x:c>
      <x:c r="F37" s="234" t="str">
        <x:v>Monthly</x:v>
      </x:c>
      <x:c r="G37" s="234" t="str">
        <x:v>Founder / Finance</x:v>
      </x:c>
      <x:c r="H37" s="234" t="str">
        <x:v>Replace estimates with actuals</x:v>
      </x:c>
      <x:c r="I37" s="232"/>
      <x:c r="J37" s="232"/>
      <x:c r="K37" s="232"/>
      <x:c r="L37" s="232"/>
      <x:c r="M37" s="232"/>
      <x:c r="N37" s="232"/>
      <x:c r="O37" s="232"/>
      <x:c r="P37" s="232"/>
      <x:c r="Q37" s="232"/>
    </x:row>
    <x:row r="38">
      <x:c r="A38" s="234" t="str">
        <x:v>BD Handoff</x:v>
      </x:c>
      <x:c r="B38" s="234" t="str">
        <x:v>Business-plan alignment and required decisions</x:v>
      </x:c>
      <x:c r="C38" s="234" t="str">
        <x:v>Finance / BD</x:v>
      </x:c>
      <x:c r="D38" s="234" t="str">
        <x:v>Complete</x:v>
      </x:c>
      <x:c r="E38" s="234" t="str">
        <x:v>Workbook + markdown handoff</x:v>
      </x:c>
      <x:c r="F38" s="234" t="str">
        <x:v>Per decision cycle</x:v>
      </x:c>
      <x:c r="G38" s="234" t="str">
        <x:v>BD / Founder</x:v>
      </x:c>
      <x:c r="H38" s="234" t="str">
        <x:v>Log approved decisions in repository</x:v>
      </x:c>
      <x:c r="I38" s="232"/>
      <x:c r="J38" s="232"/>
      <x:c r="K38" s="232"/>
      <x:c r="L38" s="232"/>
      <x:c r="M38" s="232"/>
      <x:c r="N38" s="232"/>
      <x:c r="O38" s="232"/>
      <x:c r="P38" s="232"/>
      <x:c r="Q38" s="232"/>
    </x:row>
    <x:row r="39">
      <x:c r="A39" s="232"/>
      <x:c r="B39" s="232"/>
      <x:c r="C39" s="232"/>
      <x:c r="D39" s="232"/>
      <x:c r="E39" s="232"/>
      <x:c r="F39" s="232"/>
      <x:c r="G39" s="232"/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</x:row>
    <x:row r="46">
      <x:c r="A46" s="232"/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</x:row>
    <x:row r="47">
      <x:c r="A47" s="232"/>
      <x:c r="B47" s="232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</x:row>
    <x:row r="48">
      <x:c r="A48" s="232"/>
      <x:c r="B48" s="232"/>
      <x:c r="C48" s="232"/>
      <x:c r="D48" s="232"/>
      <x:c r="E48" s="232"/>
      <x:c r="F48" s="232"/>
      <x:c r="G48" s="232"/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</x:row>
    <x:row r="49">
      <x:c r="A49" s="232"/>
      <x:c r="B49" s="232"/>
      <x:c r="C49" s="232"/>
      <x:c r="D49" s="232"/>
      <x:c r="E49" s="232"/>
      <x:c r="F49" s="232"/>
      <x:c r="G49" s="232"/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</x:row>
    <x:row r="50">
      <x:c r="A50" s="232"/>
      <x:c r="B50" s="232"/>
      <x:c r="C50" s="232"/>
      <x:c r="D50" s="232"/>
      <x:c r="E50" s="232"/>
      <x:c r="F50" s="232"/>
      <x:c r="G50" s="232"/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</x:row>
    <x:row r="51">
      <x:c r="A51" s="232"/>
      <x:c r="B51" s="232"/>
      <x:c r="C51" s="232"/>
      <x:c r="D51" s="232"/>
      <x:c r="E51" s="232"/>
      <x:c r="F51" s="232"/>
      <x:c r="G51" s="232"/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</x:row>
    <x:row r="52">
      <x:c r="A52" s="232"/>
      <x:c r="B52" s="232"/>
      <x:c r="C52" s="232"/>
      <x:c r="D52" s="232"/>
      <x:c r="E52" s="232"/>
      <x:c r="F52" s="232"/>
      <x:c r="G52" s="232"/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</x:row>
    <x:row r="53">
      <x:c r="A53" s="232"/>
      <x:c r="B53" s="232"/>
      <x:c r="C53" s="232"/>
      <x:c r="D53" s="232"/>
      <x:c r="E53" s="232"/>
      <x:c r="F53" s="232"/>
      <x:c r="G53" s="232"/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</x:row>
    <x:row r="54">
      <x:c r="A54" s="232"/>
      <x:c r="B54" s="232"/>
      <x:c r="C54" s="232"/>
      <x:c r="D54" s="232"/>
      <x:c r="E54" s="232"/>
      <x:c r="F54" s="232"/>
      <x:c r="G54" s="232"/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</x:row>
    <x:row r="55">
      <x:c r="A55" s="232"/>
      <x:c r="B55" s="232"/>
      <x:c r="C55" s="232"/>
      <x:c r="D55" s="232"/>
      <x:c r="E55" s="232"/>
      <x:c r="F55" s="232"/>
      <x:c r="G55" s="232"/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</x:row>
    <x:row r="56">
      <x:c r="A56" s="232"/>
      <x:c r="B56" s="232"/>
      <x:c r="C56" s="232"/>
      <x:c r="D56" s="232"/>
      <x:c r="E56" s="232"/>
      <x:c r="F56" s="232"/>
      <x:c r="G56" s="232"/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</x:row>
    <x:row r="57">
      <x:c r="A57" s="232"/>
      <x:c r="B57" s="232"/>
      <x:c r="C57" s="232"/>
      <x:c r="D57" s="232"/>
      <x:c r="E57" s="232"/>
      <x:c r="F57" s="232"/>
      <x:c r="G57" s="232"/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</x:row>
    <x:row r="58">
      <x:c r="A58" s="232"/>
      <x:c r="B58" s="232"/>
      <x:c r="C58" s="232"/>
      <x:c r="D58" s="232"/>
      <x:c r="E58" s="232"/>
      <x:c r="F58" s="232"/>
      <x:c r="G58" s="232"/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</x:row>
    <x:row r="59">
      <x:c r="A59" s="232"/>
      <x:c r="B59" s="232"/>
      <x:c r="C59" s="232"/>
      <x:c r="D59" s="232"/>
      <x:c r="E59" s="232"/>
      <x:c r="F59" s="232"/>
      <x:c r="G59" s="232"/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</x:row>
    <x:row r="60">
      <x:c r="A60" s="232"/>
      <x:c r="B60" s="232"/>
      <x:c r="C60" s="232"/>
      <x:c r="D60" s="232"/>
      <x:c r="E60" s="232"/>
      <x:c r="F60" s="232"/>
      <x:c r="G60" s="232"/>
      <x:c r="H60" s="232"/>
      <x:c r="I60" s="232"/>
      <x:c r="J60" s="232"/>
      <x:c r="K60" s="232"/>
      <x:c r="L60" s="232"/>
      <x:c r="M60" s="232"/>
      <x:c r="N60" s="232"/>
      <x:c r="O60" s="232"/>
      <x:c r="P60" s="232"/>
      <x:c r="Q60" s="232"/>
    </x:row>
  </x:sheetData>
  <x:mergeCells>
    <x:mergeCell ref="A1:H1"/>
    <x:mergeCell ref="A2:H2"/>
    <x:mergeCell ref="A4:H4"/>
    <x:mergeCell ref="A12:H12"/>
    <x:mergeCell ref="A23:H23"/>
    <x:mergeCell ref="A33:H33"/>
  </x:mergeCells>
  <x:pageMargins left="0.7" right="0.7" top="0.75" bottom="0.75" header="0.3" footer="0.3"/>
</x:worksheet>
</file>