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0374778be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wing Truth" sheetId="1" r:id="Re263bde0b7664ae4"/>
    <x:sheet xmlns:r="http://schemas.openxmlformats.org/officeDocument/2006/relationships" name="Takeoff Status" sheetId="2" r:id="R5780c237e1e340e7"/>
    <x:sheet xmlns:r="http://schemas.openxmlformats.org/officeDocument/2006/relationships" name="Source Notes" sheetId="3" r:id="R3e314ebbf96d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sz val="10"/>
      <x:name val="Carlito"/>
    </x:font>
    <x:font>
      <x:i/>
      <x:sz val="11"/>
      <x:color rgb="FF6A4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A1A1A"/>
      </x:patternFill>
    </x:fill>
    <x:fill>
      <x:patternFill patternType="solid">
        <x:fgColor rgb="FFF0F0F0"/>
      </x:patternFill>
    </x:fill>
    <x:fill>
      <x:patternFill patternType="solid">
        <x:fgColor rgb="FFDC2626"/>
      </x:patternFill>
    </x:fill>
    <x:fill>
      <x:patternFill patternType="solid">
        <x:fgColor rgb="FFFFF0C7"/>
      </x:patternFill>
    </x:fill>
  </x:fills>
  <x:borders count="10">
    <x:border/>
    <x:border>
      <x:left style="thin">
        <x:color rgb="FFA51C1C"/>
      </x:left>
      <x:top style="thin">
        <x:color rgb="FFA51C1C"/>
      </x:top>
      <x:bottom style="thin">
        <x:color rgb="FFA51C1C"/>
      </x:bottom>
    </x:border>
    <x:border>
      <x:top style="thin">
        <x:color rgb="FFA51C1C"/>
      </x:top>
      <x:bottom style="thin">
        <x:color rgb="FFA51C1C"/>
      </x:bottom>
    </x:border>
    <x:border>
      <x:right style="thin">
        <x:color rgb="FFA51C1C"/>
      </x:right>
      <x:top style="thin">
        <x:color rgb="FFA51C1C"/>
      </x:top>
      <x:bottom style="thin">
        <x:color rgb="FFA51C1C"/>
      </x:bottom>
    </x:border>
    <x:border>
      <x:bottom style="thin">
        <x:color rgb="FFE1E1E1"/>
      </x:bottom>
    </x:border>
    <x:border>
      <x:top style="thin">
        <x:color rgb="FFE1E1E1"/>
      </x:top>
      <x:bottom style="thin">
        <x:color rgb="FFE1E1E1"/>
      </x:bottom>
    </x:border>
    <x:border>
      <x:top style="thin">
        <x:color rgb="FFE1E1E1"/>
      </x:top>
    </x:border>
    <x:border>
      <x:bottom style="thin">
        <x:color rgb="FFDDDDDD"/>
      </x:bottom>
    </x:border>
    <x:border>
      <x:top style="thin">
        <x:color rgb="FFDDDDDD"/>
      </x:top>
    </x:border>
    <x:border>
      <x:top style="thin">
        <x:color rgb="FFDDDDDD"/>
      </x:top>
      <x:bottom style="thin">
        <x:color rgb="FFDDDDDD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745000"/>
      </x:font>
      <x:fill>
        <x:patternFill>
          <x:bgColor rgb="FFFFF0C7"/>
        </x:patternFill>
      </x:fill>
    </x:dxf>
    <x:dxf>
      <x:font>
        <x:b/>
        <x:color rgb="FF17613C"/>
      </x:font>
      <x:fill>
        <x:patternFill>
          <x:bgColor rgb="FFDF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a64c71926466c" /><Relationship Type="http://schemas.openxmlformats.org/officeDocument/2006/relationships/theme" Target="/xl/theme/theme1.xml" Id="Rb9ec33ca05864a7a" /><Relationship Type="http://schemas.openxmlformats.org/officeDocument/2006/relationships/sharedStrings" Target="/xl/sharedStrings.xml" Id="R8022039473b14d4c" /><Relationship Type="http://schemas.openxmlformats.org/officeDocument/2006/relationships/worksheet" Target="/xl/worksheets/sheet1.xml" Id="Re263bde0b7664ae4" /><Relationship Type="http://schemas.openxmlformats.org/officeDocument/2006/relationships/worksheet" Target="/xl/worksheets/sheet2.xml" Id="R5780c237e1e340e7" /><Relationship Type="http://schemas.openxmlformats.org/officeDocument/2006/relationships/worksheet" Target="/xl/worksheets/sheet3.xml" Id="R3e314ebbf96d4e7c" /></Relationships>
</file>

<file path=xl/tables/table1.xml><?xml version="1.0" encoding="utf-8"?>
<x:table xmlns:x="http://schemas.openxmlformats.org/spreadsheetml/2006/main" id="1" name="ValleyFordDrawingTruth" displayName="ValleyFordDrawingTruth" ref="A4:N34" headerRowCount="1" totalsRowCount="0" totalsRowShown="0">
  <x:tableColumns count="14">
    <x:tableColumn id="1" name="Type"/>
    <x:tableColumn id="2" name="Area"/>
    <x:tableColumn id="3" name="Drawing description"/>
    <x:tableColumn id="4" name="Specified manufacturer"/>
    <x:tableColumn id="5" name="CCT"/>
    <x:tableColumn id="6" name="Lamp"/>
    <x:tableColumn id="7" name="Watts"/>
    <x:tableColumn id="8" name="Voltage"/>
    <x:tableColumn id="9" name="Mounting"/>
    <x:tableColumn id="10" name="Lumens"/>
    <x:tableColumn id="11" name="Specified catalog number"/>
    <x:tableColumn id="12" name="Qty"/>
    <x:tableColumn id="13" name="Quantity source"/>
    <x:tableColumn id="14" name="Source she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557a4f1ed9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10" hidden="0" customWidth="1"/>
    <x:col min="9" max="9" width="13" hidden="0" customWidth="1"/>
    <x:col min="10" max="10" width="11" hidden="0" customWidth="1"/>
    <x:col min="11" max="11" width="50" hidden="0" customWidth="1"/>
    <x:col min="12" max="12" width="9" hidden="0" customWidth="1"/>
    <x:col min="13" max="13" width="24" hidden="0" customWidth="1"/>
    <x:col min="14" max="14" width="17" hidden="0" customWidth="1"/>
  </x:cols>
  <x:sheetData>
    <x:row r="1" ht="30" customHeight="1">
      <x:c r="A1" s="2" t="str">
        <x:v>VALLEY FORD OF HURON - DRAWING TRUTH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Bid set dated 2026-07-30 | Fixture schedule E-301 | Interior plan E-200 | Site plans ES-1/ES-2 | Photometrics ES-3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15" hidden="0" customHeight="1">
      <x:c r="A4" s="10" t="str">
        <x:v>Type</x:v>
      </x:c>
      <x:c r="B4" s="11" t="str">
        <x:v>Area</x:v>
      </x:c>
      <x:c r="C4" s="11" t="str">
        <x:v>Drawing description</x:v>
      </x:c>
      <x:c r="D4" s="11" t="str">
        <x:v>Specified manufacturer</x:v>
      </x:c>
      <x:c r="E4" s="11" t="str">
        <x:v>CCT</x:v>
      </x:c>
      <x:c r="F4" s="11" t="str">
        <x:v>Lamp</x:v>
      </x:c>
      <x:c r="G4" s="11" t="str">
        <x:v>Watts</x:v>
      </x:c>
      <x:c r="H4" s="11" t="str">
        <x:v>Voltage</x:v>
      </x:c>
      <x:c r="I4" s="11" t="str">
        <x:v>Mounting</x:v>
      </x:c>
      <x:c r="J4" s="11" t="str">
        <x:v>Lumens</x:v>
      </x:c>
      <x:c r="K4" s="11" t="str">
        <x:v>Specified catalog number</x:v>
      </x:c>
      <x:c r="L4" s="11" t="str">
        <x:v>Qty</x:v>
      </x:c>
      <x:c r="M4" s="11" t="str">
        <x:v>Quantity source</x:v>
      </x:c>
      <x:c r="N4" s="12" t="str">
        <x:v>Source sheet</x:v>
      </x:c>
    </x:row>
    <x:row r="5" ht="24" hidden="0" customHeight="1">
      <x:c r="A5" s="17" t="str">
        <x:v>D1</x:v>
      </x:c>
      <x:c r="B5" s="17" t="str">
        <x:v>Interior</x:v>
      </x:c>
      <x:c r="C5" s="17" t="str">
        <x:v>4" square recessed downlight; medium distribution; 59% cutoff; anodized aluminum; white flange</x:v>
      </x:c>
      <x:c r="D5" s="17" t="str">
        <x:v>Cooper Portfolio</x:v>
      </x:c>
      <x:c r="E5" s="17" t="str">
        <x:v>3000K</x:v>
      </x:c>
      <x:c r="F5" s="17" t="str">
        <x:v>LED</x:v>
      </x:c>
      <x:c r="G5" s="17" t="n">
        <x:v>17</x:v>
      </x:c>
      <x:c r="H5" s="17" t="str">
        <x:v>277V</x:v>
      </x:c>
      <x:c r="I5" s="17" t="str">
        <x:v>Recessed</x:v>
      </x:c>
      <x:c r="J5" s="17" t="n">
        <x:v>1500</x:v>
      </x:c>
      <x:c r="K5" s="17" t="str">
        <x:v>ELDSQ4C-15-97-30-D010-SQ-2-H</x:v>
      </x:c>
      <x:c r="L5" s="20" t="n">
        <x:v>117</x:v>
      </x:c>
      <x:c r="M5" s="17" t="str">
        <x:v>Drawing takeoff - reviewed</x:v>
      </x:c>
      <x:c r="N5" s="17" t="str">
        <x:v>E-200 / E-301</x:v>
      </x:c>
    </x:row>
    <x:row r="6" ht="24" hidden="0" customHeight="1">
      <x:c r="A6" s="18" t="str">
        <x:v>D2</x:v>
      </x:c>
      <x:c r="B6" s="18" t="str">
        <x:v>Interior</x:v>
      </x:c>
      <x:c r="C6" s="18" t="str">
        <x:v>4" square recessed downlight; medium distribution; 59% cutoff; anodized aluminum; self-flanged</x:v>
      </x:c>
      <x:c r="D6" s="18" t="str">
        <x:v>Cooper Portfolio</x:v>
      </x:c>
      <x:c r="E6" s="18" t="str">
        <x:v>3000K</x:v>
      </x:c>
      <x:c r="F6" s="18" t="str">
        <x:v>LED</x:v>
      </x:c>
      <x:c r="G6" s="18" t="n">
        <x:v>17</x:v>
      </x:c>
      <x:c r="H6" s="18" t="str">
        <x:v>277V</x:v>
      </x:c>
      <x:c r="I6" s="18" t="str">
        <x:v>Recessed</x:v>
      </x:c>
      <x:c r="J6" s="18" t="n">
        <x:v>1500</x:v>
      </x:c>
      <x:c r="K6" s="18" t="str">
        <x:v>ELDSQ4C-15-97-30-D010-SQ-1-H</x:v>
      </x:c>
      <x:c r="L6" s="21" t="n">
        <x:v>44</x:v>
      </x:c>
      <x:c r="M6" s="18" t="str">
        <x:v>Drawing takeoff - reviewed</x:v>
      </x:c>
      <x:c r="N6" s="18" t="str">
        <x:v>E-200 / E-301</x:v>
      </x:c>
    </x:row>
    <x:row r="7" ht="24" hidden="0" customHeight="1">
      <x:c r="A7" s="18" t="str">
        <x:v>DA2/DA3</x:v>
      </x:c>
      <x:c r="B7" s="18" t="str">
        <x:v>Interior</x:v>
      </x:c>
      <x:c r="C7" s="18" t="str">
        <x:v>5-3/4" square recessed adjustable slope wall wash; 35 degree optic</x:v>
      </x:c>
      <x:c r="D7" s="18" t="str">
        <x:v>Cooper Portfolio</x:v>
      </x:c>
      <x:c r="E7" s="18" t="str">
        <x:v>3000K</x:v>
      </x:c>
      <x:c r="F7" s="18" t="str">
        <x:v>LED</x:v>
      </x:c>
      <x:c r="G7" s="18" t="n">
        <x:v>14</x:v>
      </x:c>
      <x:c r="H7" s="18" t="str">
        <x:v>277V</x:v>
      </x:c>
      <x:c r="I7" s="18" t="str">
        <x:v>Recessed</x:v>
      </x:c>
      <x:c r="J7" s="18" t="n">
        <x:v>1000</x:v>
      </x:c>
      <x:c r="K7" s="18" t="str">
        <x:v>LDSQ4AA-10-90-30-DED10-LAR35FL-4LSQA1-H-F</x:v>
      </x:c>
      <x:c r="L7" s="21" t="n">
        <x:v>11</x:v>
      </x:c>
      <x:c r="M7" s="18" t="str">
        <x:v>Drawing takeoff (DA2=4; DA3=7)</x:v>
      </x:c>
      <x:c r="N7" s="18" t="str">
        <x:v>E-200 / E-301</x:v>
      </x:c>
    </x:row>
    <x:row r="8" ht="24" hidden="0" customHeight="1">
      <x:c r="A8" s="18" t="str">
        <x:v>DM1</x:v>
      </x:c>
      <x:c r="B8" s="18" t="str">
        <x:v>Interior</x:v>
      </x:c>
      <x:c r="C8" s="18" t="str">
        <x:v>4-head recessed multiple access light; 15 degree beam; soft focus lens; matte white</x:v>
      </x:c>
      <x:c r="D8" s="18" t="str">
        <x:v>Halo</x:v>
      </x:c>
      <x:c r="E8" s="18" t="str">
        <x:v>3000K</x:v>
      </x:c>
      <x:c r="F8" s="18" t="str">
        <x:v>LED</x:v>
      </x:c>
      <x:c r="G8" s="18" t="n">
        <x:v>57</x:v>
      </x:c>
      <x:c r="H8" s="18" t="str">
        <x:v>277V</x:v>
      </x:c>
      <x:c r="I8" s="18" t="str">
        <x:v>Recessed</x:v>
      </x:c>
      <x:c r="J8" s="18" t="n">
        <x:v>4800</x:v>
      </x:c>
      <x:c r="K8" s="18" t="str">
        <x:v>HCM4-930-ED010-MW-HCM15SP-L111</x:v>
      </x:c>
      <x:c r="L8" s="21" t="n">
        <x:v>18</x:v>
      </x:c>
      <x:c r="M8" s="18" t="str">
        <x:v>Drawing takeoff - reviewed</x:v>
      </x:c>
      <x:c r="N8" s="18" t="str">
        <x:v>E-200 / E-301</x:v>
      </x:c>
    </x:row>
    <x:row r="9" ht="24" hidden="0" customHeight="1">
      <x:c r="A9" s="18" t="str">
        <x:v>DM2</x:v>
      </x:c>
      <x:c r="B9" s="18" t="str">
        <x:v>Interior</x:v>
      </x:c>
      <x:c r="C9" s="18" t="str">
        <x:v>2-head recessed multiple access light; 40 degree beam; matte black housing; white flange</x:v>
      </x:c>
      <x:c r="D9" s="18" t="str">
        <x:v>Halo</x:v>
      </x:c>
      <x:c r="E9" s="18" t="str">
        <x:v>3000K</x:v>
      </x:c>
      <x:c r="F9" s="18" t="str">
        <x:v>LED</x:v>
      </x:c>
      <x:c r="G9" s="18" t="n">
        <x:v>29</x:v>
      </x:c>
      <x:c r="H9" s="18" t="str">
        <x:v>277V</x:v>
      </x:c>
      <x:c r="I9" s="18" t="str">
        <x:v>Recessed</x:v>
      </x:c>
      <x:c r="J9" s="18" t="n">
        <x:v>2400</x:v>
      </x:c>
      <x:c r="K9" s="18" t="str">
        <x:v>HCM4-930-ED010-MB-HCM40FL-L111</x:v>
      </x:c>
      <x:c r="L9" s="21" t="n">
        <x:v>11</x:v>
      </x:c>
      <x:c r="M9" s="18" t="str">
        <x:v>Drawing takeoff - reviewed</x:v>
      </x:c>
      <x:c r="N9" s="18" t="str">
        <x:v>E-200 / E-301</x:v>
      </x:c>
    </x:row>
    <x:row r="10" ht="24" hidden="0" customHeight="1">
      <x:c r="A10" s="18" t="str">
        <x:v>DM4</x:v>
      </x:c>
      <x:c r="B10" s="18" t="str">
        <x:v>Interior</x:v>
      </x:c>
      <x:c r="C10" s="18" t="str">
        <x:v>2-head recessed multiple access light; 40 degree beam; matte white housing and flange</x:v>
      </x:c>
      <x:c r="D10" s="18" t="str">
        <x:v>Halo</x:v>
      </x:c>
      <x:c r="E10" s="18" t="str">
        <x:v>3000K</x:v>
      </x:c>
      <x:c r="F10" s="18" t="str">
        <x:v>LED</x:v>
      </x:c>
      <x:c r="G10" s="18" t="n">
        <x:v>29</x:v>
      </x:c>
      <x:c r="H10" s="18" t="str">
        <x:v>277V</x:v>
      </x:c>
      <x:c r="I10" s="18" t="str">
        <x:v>Recessed</x:v>
      </x:c>
      <x:c r="J10" s="18" t="n">
        <x:v>2400</x:v>
      </x:c>
      <x:c r="K10" s="18" t="str">
        <x:v>HCM4-930-ED010-MW-HCM40FL-L111</x:v>
      </x:c>
      <x:c r="L10" s="21" t="n">
        <x:v>2</x:v>
      </x:c>
      <x:c r="M10" s="18" t="str">
        <x:v>Drawing takeoff - reviewed</x:v>
      </x:c>
      <x:c r="N10" s="18" t="str">
        <x:v>E-200 / E-301</x:v>
      </x:c>
    </x:row>
    <x:row r="11" ht="15" hidden="0" customHeight="1">
      <x:c r="A11" s="18" t="str">
        <x:v>DP1</x:v>
      </x:c>
      <x:c r="B11" s="18" t="str">
        <x:v>Interior</x:v>
      </x:c>
      <x:c r="C11" s="18" t="str">
        <x:v>Decorative pendant fixture</x:v>
      </x:c>
      <x:c r="D11" s="18" t="str">
        <x:v>Fritz Hansen</x:v>
      </x:c>
      <x:c r="E11" s="18" t="str">
        <x:v>3000K</x:v>
      </x:c>
      <x:c r="F11" s="18" t="str">
        <x:v>LED</x:v>
      </x:c>
      <x:c r="G11" s="18" t="n">
        <x:v>50</x:v>
      </x:c>
      <x:c r="H11" s="18" t="str">
        <x:v>277V</x:v>
      </x:c>
      <x:c r="I11" s="18" t="str">
        <x:v>Pendant</x:v>
      </x:c>
      <x:c r="J11" s="18" t="n">
        <x:v>2400</x:v>
      </x:c>
      <x:c r="K11" s="18" t="str">
        <x:v>P1.5-COLOR</x:v>
      </x:c>
      <x:c r="L11" s="21" t="n">
        <x:v>5</x:v>
      </x:c>
      <x:c r="M11" s="18" t="str">
        <x:v>Drawing takeoff - reviewed</x:v>
      </x:c>
      <x:c r="N11" s="18" t="str">
        <x:v>E-200 / E-301</x:v>
      </x:c>
    </x:row>
    <x:row r="12" ht="15" hidden="0" customHeight="1">
      <x:c r="A12" s="18" t="str">
        <x:v>L4</x:v>
      </x:c>
      <x:c r="B12" s="18" t="str">
        <x:v>Interior</x:v>
      </x:c>
      <x:c r="C12" s="18" t="str">
        <x:v>2" surface direct linear; 8-foot length; 32 feet total</x:v>
      </x:c>
      <x:c r="D12" s="18" t="str">
        <x:v>Cooper NeoRay</x:v>
      </x:c>
      <x:c r="E12" s="18" t="str">
        <x:v>3000K</x:v>
      </x:c>
      <x:c r="F12" s="18" t="str">
        <x:v>LED</x:v>
      </x:c>
      <x:c r="G12" s="18" t="str">
        <x:v>2.7/Ft</x:v>
      </x:c>
      <x:c r="H12" s="18" t="str">
        <x:v>277V</x:v>
      </x:c>
      <x:c r="I12" s="18" t="str">
        <x:v>Surface</x:v>
      </x:c>
      <x:c r="J12" s="18" t="str">
        <x:v>290/Ft</x:v>
      </x:c>
      <x:c r="K12" s="18" t="str">
        <x:v>S122-DS-H-290D-9-30-JB-8FO/8-1-U-DD</x:v>
      </x:c>
      <x:c r="L12" s="21" t="n">
        <x:v>16</x:v>
      </x:c>
      <x:c r="M12" s="18" t="str">
        <x:v>Drawing takeoff - reviewed</x:v>
      </x:c>
      <x:c r="N12" s="18" t="str">
        <x:v>E-200 / E-301</x:v>
      </x:c>
    </x:row>
    <x:row r="13" ht="15" hidden="0" customHeight="1">
      <x:c r="A13" s="18" t="str">
        <x:v>L5</x:v>
      </x:c>
      <x:c r="B13" s="18" t="str">
        <x:v>Interior</x:v>
      </x:c>
      <x:c r="C13" s="18" t="str">
        <x:v>2" surface direct linear; 12-foot length</x:v>
      </x:c>
      <x:c r="D13" s="18" t="str">
        <x:v>Cooper NeoRay</x:v>
      </x:c>
      <x:c r="E13" s="18" t="str">
        <x:v>3000K</x:v>
      </x:c>
      <x:c r="F13" s="18" t="str">
        <x:v>LED</x:v>
      </x:c>
      <x:c r="G13" s="18" t="str">
        <x:v>2.4/Ft</x:v>
      </x:c>
      <x:c r="H13" s="18" t="str">
        <x:v>277V</x:v>
      </x:c>
      <x:c r="I13" s="18" t="str">
        <x:v>Surface</x:v>
      </x:c>
      <x:c r="J13" s="18" t="str">
        <x:v>290/Ft</x:v>
      </x:c>
      <x:c r="K13" s="18" t="str">
        <x:v>S122-DS-H-290D-9-30-JB-12FO/8-1-U-DD</x:v>
      </x:c>
      <x:c r="L13" s="21" t="n">
        <x:v>4</x:v>
      </x:c>
      <x:c r="M13" s="18" t="str">
        <x:v>Drawing takeoff - reviewed</x:v>
      </x:c>
      <x:c r="N13" s="18" t="str">
        <x:v>E-200 / E-301</x:v>
      </x:c>
    </x:row>
    <x:row r="14" ht="24" hidden="0" customHeight="1">
      <x:c r="A14" s="18" t="str">
        <x:v>L8</x:v>
      </x:c>
      <x:c r="B14" s="18" t="str">
        <x:v>Interior</x:v>
      </x:c>
      <x:c r="C14" s="18" t="str">
        <x:v>4" pendant direct/indirect linear; 10-foot length; batwing optics</x:v>
      </x:c>
      <x:c r="D14" s="18" t="str">
        <x:v>Cooper NeoRay</x:v>
      </x:c>
      <x:c r="E14" s="18" t="str">
        <x:v>3000K</x:v>
      </x:c>
      <x:c r="F14" s="18" t="str">
        <x:v>LED</x:v>
      </x:c>
      <x:c r="G14" s="18" t="n">
        <x:v>154</x:v>
      </x:c>
      <x:c r="H14" s="18" t="str">
        <x:v>277V</x:v>
      </x:c>
      <x:c r="I14" s="18" t="str">
        <x:v>Pendant</x:v>
      </x:c>
      <x:c r="J14" s="18" t="n">
        <x:v>20559</x:v>
      </x:c>
      <x:c r="K14" s="18" t="str">
        <x:v>S124-DIP-C-1020D-1035U-9-30-C10-JB-10FO-1-U-DD-F4-W</x:v>
      </x:c>
      <x:c r="L14" s="21" t="n">
        <x:v>4</x:v>
      </x:c>
      <x:c r="M14" s="18" t="str">
        <x:v>Drawing takeoff - reviewed</x:v>
      </x:c>
      <x:c r="N14" s="18" t="str">
        <x:v>E-200 / E-301</x:v>
      </x:c>
    </x:row>
    <x:row r="15" ht="15" hidden="0" customHeight="1">
      <x:c r="A15" s="18" t="str">
        <x:v>L10</x:v>
      </x:c>
      <x:c r="B15" s="18" t="str">
        <x:v>Interior</x:v>
      </x:c>
      <x:c r="C15" s="18" t="str">
        <x:v>4" pendant direct linear; 12-foot length; batwing optics</x:v>
      </x:c>
      <x:c r="D15" s="18" t="str">
        <x:v>Cooper NeoRay</x:v>
      </x:c>
      <x:c r="E15" s="18" t="str">
        <x:v>3000K</x:v>
      </x:c>
      <x:c r="F15" s="18" t="str">
        <x:v>LED</x:v>
      </x:c>
      <x:c r="G15" s="18" t="n">
        <x:v>106</x:v>
      </x:c>
      <x:c r="H15" s="18" t="str">
        <x:v>277V</x:v>
      </x:c>
      <x:c r="I15" s="18" t="str">
        <x:v>Pendant</x:v>
      </x:c>
      <x:c r="J15" s="18" t="n">
        <x:v>12240</x:v>
      </x:c>
      <x:c r="K15" s="18" t="str">
        <x:v>S124-DIP-C-1020D-1035U-9-30-C10-JB-12FO-1-U-DD-F-W</x:v>
      </x:c>
      <x:c r="L15" s="21" t="n">
        <x:v>8</x:v>
      </x:c>
      <x:c r="M15" s="18" t="str">
        <x:v>Drawing takeoff - reviewed</x:v>
      </x:c>
      <x:c r="N15" s="18" t="str">
        <x:v>E-200 / E-301</x:v>
      </x:c>
    </x:row>
    <x:row r="16" ht="24" hidden="0" customHeight="1">
      <x:c r="A16" s="18" t="str">
        <x:v>L14.1</x:v>
      </x:c>
      <x:c r="B16" s="18" t="str">
        <x:v>Interior</x:v>
      </x:c>
      <x:c r="C16" s="18" t="str">
        <x:v>2" wall-mounted direct linear; 32-foot length; verify color/hardware</x:v>
      </x:c>
      <x:c r="D16" s="18" t="str">
        <x:v>Cooper NeoRay</x:v>
      </x:c>
      <x:c r="E16" s="18" t="str">
        <x:v>3000K</x:v>
      </x:c>
      <x:c r="F16" s="18" t="str">
        <x:v>LED</x:v>
      </x:c>
      <x:c r="G16" s="18" t="n">
        <x:v>94</x:v>
      </x:c>
      <x:c r="H16" s="18" t="str">
        <x:v>277V</x:v>
      </x:c>
      <x:c r="I16" s="18" t="str">
        <x:v>Trestle</x:v>
      </x:c>
      <x:c r="J16" s="18" t="str">
        <x:v>300/Ft</x:v>
      </x:c>
      <x:c r="K16" s="18" t="str">
        <x:v>S124-DIP-C-1020D-1035U-9-30-C10-JB-W-12FO-1-U-DD-F-W</x:v>
      </x:c>
      <x:c r="L16" s="21" t="n">
        <x:v>4</x:v>
      </x:c>
      <x:c r="M16" s="18" t="str">
        <x:v>Drawing takeoff - reviewed</x:v>
      </x:c>
      <x:c r="N16" s="18" t="str">
        <x:v>E-200 / E-301</x:v>
      </x:c>
    </x:row>
    <x:row r="17" ht="24" hidden="0" customHeight="1">
      <x:c r="A17" s="18" t="str">
        <x:v>L14.2</x:v>
      </x:c>
      <x:c r="B17" s="18" t="str">
        <x:v>Interior</x:v>
      </x:c>
      <x:c r="C17" s="18" t="str">
        <x:v>2" wall-mounted direct linear; 8-foot length; verify color/hardware</x:v>
      </x:c>
      <x:c r="D17" s="18" t="str">
        <x:v>Axis</x:v>
      </x:c>
      <x:c r="E17" s="18" t="str">
        <x:v>3000K</x:v>
      </x:c>
      <x:c r="F17" s="18" t="str">
        <x:v>LED</x:v>
      </x:c>
      <x:c r="G17" s="18" t="n">
        <x:v>24</x:v>
      </x:c>
      <x:c r="H17" s="18" t="str">
        <x:v>277V</x:v>
      </x:c>
      <x:c r="I17" s="18" t="str">
        <x:v>Trestle</x:v>
      </x:c>
      <x:c r="J17" s="18" t="str">
        <x:v>300/Ft</x:v>
      </x:c>
      <x:c r="K17" s="18" t="str">
        <x:v>EX2WD-300-90-SO-8'-FINISH-UNV-DP-1</x:v>
      </x:c>
      <x:c r="L17" s="21" t="n">
        <x:v>36</x:v>
      </x:c>
      <x:c r="M17" s="18" t="str">
        <x:v>Drawing takeoff - reviewed</x:v>
      </x:c>
      <x:c r="N17" s="18" t="str">
        <x:v>E-200 / E-301</x:v>
      </x:c>
    </x:row>
    <x:row r="18" ht="15" hidden="0" customHeight="1">
      <x:c r="A18" s="18" t="str">
        <x:v>L15</x:v>
      </x:c>
      <x:c r="B18" s="18" t="str">
        <x:v>Interior</x:v>
      </x:c>
      <x:c r="C18" s="18" t="str">
        <x:v>8-foot pendant strip fixture; clear lens; aircraft cable</x:v>
      </x:c>
      <x:c r="D18" s="18" t="str">
        <x:v>Metalux</x:v>
      </x:c>
      <x:c r="E18" s="18" t="str">
        <x:v>4000K</x:v>
      </x:c>
      <x:c r="F18" s="18" t="str">
        <x:v>LED</x:v>
      </x:c>
      <x:c r="G18" s="18" t="n">
        <x:v>145</x:v>
      </x:c>
      <x:c r="H18" s="18" t="str">
        <x:v>277V</x:v>
      </x:c>
      <x:c r="I18" s="18" t="str">
        <x:v>Pendant</x:v>
      </x:c>
      <x:c r="J18" s="18" t="n">
        <x:v>19062</x:v>
      </x:c>
      <x:c r="K18" s="18" t="str">
        <x:v>8SNX-200HL-FDL-UNV-L840-CD-1-U</x:v>
      </x:c>
      <x:c r="L18" s="21" t="n">
        <x:v>55</x:v>
      </x:c>
      <x:c r="M18" s="18" t="str">
        <x:v>Drawing takeoff - reviewed</x:v>
      </x:c>
      <x:c r="N18" s="18" t="str">
        <x:v>E-200 / E-301</x:v>
      </x:c>
    </x:row>
    <x:row r="19" ht="15" hidden="0" customHeight="1">
      <x:c r="A19" s="18" t="str">
        <x:v>L17</x:v>
      </x:c>
      <x:c r="B19" s="18" t="str">
        <x:v>Interior</x:v>
      </x:c>
      <x:c r="C19" s="18" t="str">
        <x:v>4-foot bottom-of-truss strip fixture; clear lens</x:v>
      </x:c>
      <x:c r="D19" s="18" t="str">
        <x:v>Metalux</x:v>
      </x:c>
      <x:c r="E19" s="18" t="str">
        <x:v>4000K</x:v>
      </x:c>
      <x:c r="F19" s="18" t="str">
        <x:v>LED</x:v>
      </x:c>
      <x:c r="G19" s="18" t="n">
        <x:v>73</x:v>
      </x:c>
      <x:c r="H19" s="18" t="str">
        <x:v>277V</x:v>
      </x:c>
      <x:c r="I19" s="18" t="str">
        <x:v>Surface</x:v>
      </x:c>
      <x:c r="J19" s="18" t="n">
        <x:v>9356</x:v>
      </x:c>
      <x:c r="K19" s="18" t="str">
        <x:v>4SNX-100HL-LW-UNV-L840-CD-1-U</x:v>
      </x:c>
      <x:c r="L19" s="21" t="n">
        <x:v>30</x:v>
      </x:c>
      <x:c r="M19" s="18" t="str">
        <x:v>Drawing takeoff - reviewed</x:v>
      </x:c>
      <x:c r="N19" s="18" t="str">
        <x:v>E-200 / E-301</x:v>
      </x:c>
    </x:row>
    <x:row r="20" ht="15" hidden="0" customHeight="1">
      <x:c r="A20" s="18" t="str">
        <x:v>L18</x:v>
      </x:c>
      <x:c r="B20" s="18" t="str">
        <x:v>Interior</x:v>
      </x:c>
      <x:c r="C20" s="18" t="str">
        <x:v>Trellis wall-mounted aluminum channel with ribbon tape</x:v>
      </x:c>
      <x:c r="D20" s="18" t="str">
        <x:v>Acolyte</x:v>
      </x:c>
      <x:c r="E20" s="18" t="str">
        <x:v>3000K</x:v>
      </x:c>
      <x:c r="F20" s="18" t="str">
        <x:v>LED</x:v>
      </x:c>
      <x:c r="G20" s="18" t="n">
        <x:v>90</x:v>
      </x:c>
      <x:c r="H20" s="18" t="str">
        <x:v>277V</x:v>
      </x:c>
      <x:c r="I20" s="18" t="str">
        <x:v>Wall recessed</x:v>
      </x:c>
      <x:c r="J20" s="18"/>
      <x:c r="K20" s="18" t="str">
        <x:v>CHAS23-SM-COLOR-C + RB90SWS2653.030 + DRVRPWDW2490120</x:v>
      </x:c>
      <x:c r="L20" s="21" t="n">
        <x:v>3</x:v>
      </x:c>
      <x:c r="M20" s="18" t="str">
        <x:v>Drawing takeoff - reviewed</x:v>
      </x:c>
      <x:c r="N20" s="18" t="str">
        <x:v>E-200 / E-301</x:v>
      </x:c>
    </x:row>
    <x:row r="21" ht="15" hidden="0" customHeight="1">
      <x:c r="A21" s="18" t="str">
        <x:v>TR1</x:v>
      </x:c>
      <x:c r="B21" s="18" t="str">
        <x:v>Interior</x:v>
      </x:c>
      <x:c r="C21" s="18" t="str">
        <x:v>2x2 troffer; 2500 lumens</x:v>
      </x:c>
      <x:c r="D21" s="18" t="str">
        <x:v>Metalux</x:v>
      </x:c>
      <x:c r="E21" s="18" t="str">
        <x:v>3000K</x:v>
      </x:c>
      <x:c r="F21" s="18" t="str">
        <x:v>LED</x:v>
      </x:c>
      <x:c r="G21" s="18" t="n">
        <x:v>20</x:v>
      </x:c>
      <x:c r="H21" s="18" t="str">
        <x:v>277V</x:v>
      </x:c>
      <x:c r="I21" s="18" t="str">
        <x:v>Recessed</x:v>
      </x:c>
      <x:c r="J21" s="18" t="n">
        <x:v>2500</x:v>
      </x:c>
      <x:c r="K21" s="18" t="str">
        <x:v>24EN-LD2-25-UNV-L930-CD-1-U</x:v>
      </x:c>
      <x:c r="L21" s="21" t="n">
        <x:v>72</x:v>
      </x:c>
      <x:c r="M21" s="18" t="str">
        <x:v>Drawing takeoff - reviewed</x:v>
      </x:c>
      <x:c r="N21" s="18" t="str">
        <x:v>E-200 / E-301</x:v>
      </x:c>
    </x:row>
    <x:row r="22" ht="15" hidden="0" customHeight="1">
      <x:c r="A22" s="18" t="str">
        <x:v>HB1</x:v>
      </x:c>
      <x:c r="B22" s="18" t="str">
        <x:v>Interior</x:v>
      </x:c>
      <x:c r="C22" s="18" t="str">
        <x:v>4-foot high bay; wide distribution; standard efficiency</x:v>
      </x:c>
      <x:c r="D22" s="18" t="str">
        <x:v>Metalux</x:v>
      </x:c>
      <x:c r="E22" s="18" t="str">
        <x:v>4000K</x:v>
      </x:c>
      <x:c r="F22" s="18" t="str">
        <x:v>LED</x:v>
      </x:c>
      <x:c r="G22" s="18" t="n">
        <x:v>147</x:v>
      </x:c>
      <x:c r="H22" s="18" t="str">
        <x:v>277V</x:v>
      </x:c>
      <x:c r="I22" s="18" t="str">
        <x:v>Surface</x:v>
      </x:c>
      <x:c r="J22" s="18" t="n">
        <x:v>24786</x:v>
      </x:c>
      <x:c r="K22" s="18" t="str">
        <x:v>OHBL-24SE-W-UNV-L840-CD-UPL12</x:v>
      </x:c>
      <x:c r="L22" s="21" t="n">
        <x:v>18</x:v>
      </x:c>
      <x:c r="M22" s="18" t="str">
        <x:v>Drawing takeoff - reviewed</x:v>
      </x:c>
      <x:c r="N22" s="18" t="str">
        <x:v>E-200 / E-301</x:v>
      </x:c>
    </x:row>
    <x:row r="23" ht="15" hidden="0" customHeight="1">
      <x:c r="A23" s="18" t="str">
        <x:v>X</x:v>
      </x:c>
      <x:c r="B23" s="18" t="str">
        <x:v>Interior</x:v>
      </x:c>
      <x:c r="C23" s="18" t="str">
        <x:v>Exit sign; red letters; AC only; field directional arrows</x:v>
      </x:c>
      <x:c r="D23" s="18" t="str">
        <x:v>Cooper Atlite</x:v>
      </x:c>
      <x:c r="E23" s="18"/>
      <x:c r="F23" s="18" t="str">
        <x:v>LED</x:v>
      </x:c>
      <x:c r="G23" s="18" t="n">
        <x:v>1</x:v>
      </x:c>
      <x:c r="H23" s="18" t="str">
        <x:v>277V</x:v>
      </x:c>
      <x:c r="I23" s="18" t="str">
        <x:v>Wall or ceiling</x:v>
      </x:c>
      <x:c r="J23" s="18"/>
      <x:c r="K23" s="18" t="str">
        <x:v>ACX Series or approved equal</x:v>
      </x:c>
      <x:c r="L23" s="21" t="n">
        <x:v>11</x:v>
      </x:c>
      <x:c r="M23" s="18" t="str">
        <x:v>Drawing takeoff - reviewed</x:v>
      </x:c>
      <x:c r="N23" s="18" t="str">
        <x:v>E-200 / E-301</x:v>
      </x:c>
    </x:row>
    <x:row r="24" ht="24" hidden="0" customHeight="1">
      <x:c r="A24" s="18" t="str">
        <x:v>PA1</x:v>
      </x:c>
      <x:c r="B24" s="18" t="str">
        <x:v>Exterior</x:v>
      </x:c>
      <x:c r="C24" s="18" t="str">
        <x:v>Four pole-mounted site fixtures at 90 degrees on 30-foot pole</x:v>
      </x:c>
      <x:c r="D24" s="18" t="str">
        <x:v>McGraw Edison</x:v>
      </x:c>
      <x:c r="E24" s="18" t="str">
        <x:v>4000K</x:v>
      </x:c>
      <x:c r="F24" s="18" t="str">
        <x:v>LED</x:v>
      </x:c>
      <x:c r="G24" s="18" t="n">
        <x:v>658</x:v>
      </x:c>
      <x:c r="H24" s="18" t="str">
        <x:v>480V</x:v>
      </x:c>
      <x:c r="I24" s="18" t="str">
        <x:v>Pole</x:v>
      </x:c>
      <x:c r="J24" s="18" t="n">
        <x:v>67937</x:v>
      </x:c>
      <x:c r="K24" s="18" t="str">
        <x:v>GALN-SB9D-940-XX-5WQ-AP-MA1193; pole STS-5-D-30-S-V-4-4-X</x:v>
      </x:c>
      <x:c r="L24" s="21" t="n">
        <x:v>3</x:v>
      </x:c>
      <x:c r="M24" s="18" t="str">
        <x:v>Photometric schedule - reconciled</x:v>
      </x:c>
      <x:c r="N24" s="18" t="str">
        <x:v>E-301 / ES-3</x:v>
      </x:c>
    </x:row>
    <x:row r="25" ht="24" hidden="0" customHeight="1">
      <x:c r="A25" s="18" t="str">
        <x:v>PA2</x:v>
      </x:c>
      <x:c r="B25" s="18" t="str">
        <x:v>Exterior</x:v>
      </x:c>
      <x:c r="C25" s="18" t="str">
        <x:v>Four pole-mounted site fixtures at 90 degrees on 30-foot pole</x:v>
      </x:c>
      <x:c r="D25" s="18" t="str">
        <x:v>McGraw Edison</x:v>
      </x:c>
      <x:c r="E25" s="18" t="str">
        <x:v>4000K</x:v>
      </x:c>
      <x:c r="F25" s="18" t="str">
        <x:v>LED</x:v>
      </x:c>
      <x:c r="G25" s="18" t="n">
        <x:v>450</x:v>
      </x:c>
      <x:c r="H25" s="18" t="str">
        <x:v>480V</x:v>
      </x:c>
      <x:c r="I25" s="18" t="str">
        <x:v>Pole</x:v>
      </x:c>
      <x:c r="J25" s="18" t="n">
        <x:v>46000</x:v>
      </x:c>
      <x:c r="K25" s="18" t="str">
        <x:v>GALN-SB9C-940-XX-5WQ-AP-MA1193; pole STS-5-D-30-S-V-4-4-X</x:v>
      </x:c>
      <x:c r="L25" s="21" t="n">
        <x:v>6</x:v>
      </x:c>
      <x:c r="M25" s="18" t="str">
        <x:v>Photometric schedule - reconciled</x:v>
      </x:c>
      <x:c r="N25" s="18" t="str">
        <x:v>E-301 / ES-3</x:v>
      </x:c>
    </x:row>
    <x:row r="26" ht="24" hidden="0" customHeight="1">
      <x:c r="A26" s="18" t="str">
        <x:v>PA3</x:v>
      </x:c>
      <x:c r="B26" s="18" t="str">
        <x:v>Exterior</x:v>
      </x:c>
      <x:c r="C26" s="18" t="str">
        <x:v>Three pole-mounted site fixtures at 90 degrees on 30-foot pole</x:v>
      </x:c>
      <x:c r="D26" s="18" t="str">
        <x:v>McGraw Edison</x:v>
      </x:c>
      <x:c r="E26" s="18" t="str">
        <x:v>4000K</x:v>
      </x:c>
      <x:c r="F26" s="18" t="str">
        <x:v>LED</x:v>
      </x:c>
      <x:c r="G26" s="18" t="n">
        <x:v>658</x:v>
      </x:c>
      <x:c r="H26" s="18" t="str">
        <x:v>480V</x:v>
      </x:c>
      <x:c r="I26" s="18" t="str">
        <x:v>Pole</x:v>
      </x:c>
      <x:c r="J26" s="18" t="n">
        <x:v>62500</x:v>
      </x:c>
      <x:c r="K26" s="18" t="str">
        <x:v>GALN-SB9D-940-XX-5WQ-AP-MA1193; pole STS-5-D-30-S-V-4-3-X</x:v>
      </x:c>
      <x:c r="L26" s="21" t="n">
        <x:v>2</x:v>
      </x:c>
      <x:c r="M26" s="18" t="str">
        <x:v>Photometric schedule - reconciled</x:v>
      </x:c>
      <x:c r="N26" s="18" t="str">
        <x:v>E-301 / ES-3</x:v>
      </x:c>
    </x:row>
    <x:row r="27" ht="24" hidden="0" customHeight="1">
      <x:c r="A27" s="18" t="str">
        <x:v>PA4</x:v>
      </x:c>
      <x:c r="B27" s="18" t="str">
        <x:v>Exterior</x:v>
      </x:c>
      <x:c r="C27" s="18" t="str">
        <x:v>One pole-mounted site fixture; AFL distribution; 30-foot pole</x:v>
      </x:c>
      <x:c r="D27" s="18" t="str">
        <x:v>McGraw Edison</x:v>
      </x:c>
      <x:c r="E27" s="18" t="str">
        <x:v>4000K</x:v>
      </x:c>
      <x:c r="F27" s="18" t="str">
        <x:v>LED</x:v>
      </x:c>
      <x:c r="G27" s="18" t="n">
        <x:v>658</x:v>
      </x:c>
      <x:c r="H27" s="18" t="str">
        <x:v>480V</x:v>
      </x:c>
      <x:c r="I27" s="18" t="str">
        <x:v>Pole</x:v>
      </x:c>
      <x:c r="J27" s="18" t="n">
        <x:v>63000</x:v>
      </x:c>
      <x:c r="K27" s="18" t="str">
        <x:v>GALN-SB9D-940-XX-AFL-AP-MA1036; pole STS-5-D-30-S-V-4-1-X</x:v>
      </x:c>
      <x:c r="L27" s="21" t="n">
        <x:v>6</x:v>
      </x:c>
      <x:c r="M27" s="18" t="str">
        <x:v>Photometric schedule - reconciled</x:v>
      </x:c>
      <x:c r="N27" s="18" t="str">
        <x:v>E-301 / ES-3</x:v>
      </x:c>
    </x:row>
    <x:row r="28" ht="24" hidden="0" customHeight="1">
      <x:c r="A28" s="18" t="str">
        <x:v>PA5</x:v>
      </x:c>
      <x:c r="B28" s="18" t="str">
        <x:v>Exterior</x:v>
      </x:c>
      <x:c r="C28" s="18" t="str">
        <x:v>One pole-mounted site fixture; T4W distribution; 30-foot pole</x:v>
      </x:c>
      <x:c r="D28" s="18" t="str">
        <x:v>McGraw Edison</x:v>
      </x:c>
      <x:c r="E28" s="18" t="str">
        <x:v>4000K</x:v>
      </x:c>
      <x:c r="F28" s="18" t="str">
        <x:v>LED</x:v>
      </x:c>
      <x:c r="G28" s="18" t="n">
        <x:v>658</x:v>
      </x:c>
      <x:c r="H28" s="18" t="str">
        <x:v>480V</x:v>
      </x:c>
      <x:c r="I28" s="18" t="str">
        <x:v>Pole</x:v>
      </x:c>
      <x:c r="J28" s="18" t="n">
        <x:v>63000</x:v>
      </x:c>
      <x:c r="K28" s="18" t="str">
        <x:v>GALN-SB9D-940-XX-T4W-AP-MA1193; pole STS-5-D-30-S-V-4-1-X</x:v>
      </x:c>
      <x:c r="L28" s="21" t="n">
        <x:v>22</x:v>
      </x:c>
      <x:c r="M28" s="18" t="str">
        <x:v>Photometric schedule - reconciled</x:v>
      </x:c>
      <x:c r="N28" s="18" t="str">
        <x:v>E-301 / ES-3</x:v>
      </x:c>
    </x:row>
    <x:row r="29" ht="15" hidden="0" customHeight="1">
      <x:c r="A29" s="18" t="str">
        <x:v>EWM1</x:v>
      </x:c>
      <x:c r="B29" s="18" t="str">
        <x:v>Exterior</x:v>
      </x:c>
      <x:c r="C29" s="18" t="str">
        <x:v>Wall-mounted site fixture at 20 feet above grade; black</x:v>
      </x:c>
      <x:c r="D29" s="18" t="str">
        <x:v>Cooper Streetworks</x:v>
      </x:c>
      <x:c r="E29" s="18" t="str">
        <x:v>4000K</x:v>
      </x:c>
      <x:c r="F29" s="18" t="str">
        <x:v>LED</x:v>
      </x:c>
      <x:c r="G29" s="18" t="n">
        <x:v>130</x:v>
      </x:c>
      <x:c r="H29" s="18" t="str">
        <x:v>277V</x:v>
      </x:c>
      <x:c r="I29" s="18" t="str">
        <x:v>Wall</x:v>
      </x:c>
      <x:c r="J29" s="18" t="n">
        <x:v>16080</x:v>
      </x:c>
      <x:c r="K29" s="18" t="str">
        <x:v>GAW-SA2D-740-U-T4W-BK</x:v>
      </x:c>
      <x:c r="L29" s="21" t="n">
        <x:v>13</x:v>
      </x:c>
      <x:c r="M29" s="18" t="str">
        <x:v>Photometric schedule - reconciled</x:v>
      </x:c>
      <x:c r="N29" s="18" t="str">
        <x:v>E-301 / ES-3</x:v>
      </x:c>
    </x:row>
    <x:row r="30" ht="15" hidden="0" customHeight="1">
      <x:c r="A30" s="18" t="str">
        <x:v>EWM2</x:v>
      </x:c>
      <x:c r="B30" s="18" t="str">
        <x:v>Exterior</x:v>
      </x:c>
      <x:c r="C30" s="18" t="str">
        <x:v>Wall-mounted site fixture at 10 feet above grade; white</x:v>
      </x:c>
      <x:c r="D30" s="18" t="str">
        <x:v>Cooper Lumiere</x:v>
      </x:c>
      <x:c r="E30" s="18" t="str">
        <x:v>4000K</x:v>
      </x:c>
      <x:c r="F30" s="18" t="str">
        <x:v>LED</x:v>
      </x:c>
      <x:c r="G30" s="18" t="n">
        <x:v>16</x:v>
      </x:c>
      <x:c r="H30" s="18" t="str">
        <x:v>277V</x:v>
      </x:c>
      <x:c r="I30" s="18" t="str">
        <x:v>Wall</x:v>
      </x:c>
      <x:c r="J30" s="18" t="n">
        <x:v>1035</x:v>
      </x:c>
      <x:c r="K30" s="18" t="str">
        <x:v>303-W1-LEDB2-4000K-UNV-T4-DM10-WT</x:v>
      </x:c>
      <x:c r="L30" s="21" t="n">
        <x:v>4</x:v>
      </x:c>
      <x:c r="M30" s="18" t="str">
        <x:v>Photometric schedule - reconciled</x:v>
      </x:c>
      <x:c r="N30" s="18" t="str">
        <x:v>E-301 / ES-3</x:v>
      </x:c>
    </x:row>
    <x:row r="31" ht="15" hidden="0" customHeight="1">
      <x:c r="A31" s="18" t="str">
        <x:v>PS1</x:v>
      </x:c>
      <x:c r="B31" s="18" t="str">
        <x:v>Exterior</x:v>
      </x:c>
      <x:c r="C31" s="18" t="str">
        <x:v>Pole-mounted 2-head spot lighting fixture; 12-foot pole</x:v>
      </x:c>
      <x:c r="D31" s="18" t="str">
        <x:v>BK Products</x:v>
      </x:c>
      <x:c r="E31" s="18" t="str">
        <x:v>4000K</x:v>
      </x:c>
      <x:c r="F31" s="18" t="str">
        <x:v>LED</x:v>
      </x:c>
      <x:c r="G31" s="18" t="n">
        <x:v>72</x:v>
      </x:c>
      <x:c r="H31" s="18" t="str">
        <x:v>277V</x:v>
      </x:c>
      <x:c r="I31" s="18" t="str">
        <x:v>Pole</x:v>
      </x:c>
      <x:c r="J31" s="18" t="n">
        <x:v>2400</x:v>
      </x:c>
      <x:c r="K31" s="18" t="str">
        <x:v>RS4-H2090-12-HU-X112-NSP-9-A-C10-MT-SAP</x:v>
      </x:c>
      <x:c r="L31" s="21" t="n">
        <x:v>13</x:v>
      </x:c>
      <x:c r="M31" s="18" t="str">
        <x:v>Photometric schedule - reconciled</x:v>
      </x:c>
      <x:c r="N31" s="18" t="str">
        <x:v>E-301 / ES-3</x:v>
      </x:c>
    </x:row>
    <x:row r="32" ht="15" hidden="0" customHeight="1">
      <x:c r="A32" s="18" t="str">
        <x:v>PS2</x:v>
      </x:c>
      <x:c r="B32" s="18" t="str">
        <x:v>Exterior</x:v>
      </x:c>
      <x:c r="C32" s="18" t="str">
        <x:v>Pole-mounted 6-head spot lighting fixture; 12-foot pole</x:v>
      </x:c>
      <x:c r="D32" s="18" t="str">
        <x:v>BK Products</x:v>
      </x:c>
      <x:c r="E32" s="18" t="str">
        <x:v>4000K</x:v>
      </x:c>
      <x:c r="F32" s="18" t="str">
        <x:v>LED</x:v>
      </x:c>
      <x:c r="G32" s="18" t="n">
        <x:v>216</x:v>
      </x:c>
      <x:c r="H32" s="18" t="str">
        <x:v>277V</x:v>
      </x:c>
      <x:c r="I32" s="18" t="str">
        <x:v>Pole</x:v>
      </x:c>
      <x:c r="J32" s="18" t="n">
        <x:v>7200</x:v>
      </x:c>
      <x:c r="K32" s="18" t="str">
        <x:v>CUS-1774-XX-RS4-V3045+V3315+12-HVX12-NSP-4-A-1-010-MT-SAP</x:v>
      </x:c>
      <x:c r="L32" s="21" t="n">
        <x:v>1</x:v>
      </x:c>
      <x:c r="M32" s="18" t="str">
        <x:v>Drawing takeoff - reviewed</x:v>
      </x:c>
      <x:c r="N32" s="18" t="str">
        <x:v>E-301 / ES-2</x:v>
      </x:c>
    </x:row>
    <x:row r="33" ht="15" hidden="0" customHeight="1">
      <x:c r="A33" s="18" t="str">
        <x:v>SS</x:v>
      </x:c>
      <x:c r="B33" s="18" t="str">
        <x:v>Exterior</x:v>
      </x:c>
      <x:c r="C33" s="18" t="str">
        <x:v>In-ground horizontal flood to light monument sign</x:v>
      </x:c>
      <x:c r="D33" s="18" t="str">
        <x:v>Lithonia</x:v>
      </x:c>
      <x:c r="E33" s="18" t="str">
        <x:v>4000K</x:v>
      </x:c>
      <x:c r="F33" s="18" t="str">
        <x:v>LED</x:v>
      </x:c>
      <x:c r="G33" s="18" t="n">
        <x:v>52</x:v>
      </x:c>
      <x:c r="H33" s="18" t="str">
        <x:v>277V</x:v>
      </x:c>
      <x:c r="I33" s="18" t="str">
        <x:v>In-ground</x:v>
      </x:c>
      <x:c r="J33" s="18" t="n">
        <x:v>7489</x:v>
      </x:c>
      <x:c r="K33" s="18" t="str">
        <x:v>DSXF2LED-P1-40K-70CRI-WFL-MVOLT-THK-DDBXD</x:v>
      </x:c>
      <x:c r="L33" s="21" t="n">
        <x:v>2</x:v>
      </x:c>
      <x:c r="M33" s="18" t="str">
        <x:v>Drawing takeoff - reviewed</x:v>
      </x:c>
      <x:c r="N33" s="18" t="str">
        <x:v>E-301 / ES-2</x:v>
      </x:c>
    </x:row>
    <x:row r="34" ht="15" hidden="0" customHeight="1">
      <x:c r="A34" s="19" t="str">
        <x:v>SF</x:v>
      </x:c>
      <x:c r="B34" s="19" t="str">
        <x:v>Exterior</x:v>
      </x:c>
      <x:c r="C34" s="19" t="str">
        <x:v>In-ground horizontal flood to light flag pole</x:v>
      </x:c>
      <x:c r="D34" s="19" t="str">
        <x:v>Lithonia</x:v>
      </x:c>
      <x:c r="E34" s="19" t="str">
        <x:v>4000K</x:v>
      </x:c>
      <x:c r="F34" s="19" t="str">
        <x:v>LED</x:v>
      </x:c>
      <x:c r="G34" s="19" t="n">
        <x:v>107</x:v>
      </x:c>
      <x:c r="H34" s="19" t="str">
        <x:v>277V</x:v>
      </x:c>
      <x:c r="I34" s="19" t="str">
        <x:v>In-ground</x:v>
      </x:c>
      <x:c r="J34" s="19" t="n">
        <x:v>11816</x:v>
      </x:c>
      <x:c r="K34" s="19" t="str">
        <x:v>DSXF3LED-6-P1-40K-70CRI-NSP-MVOLT-THK-DDBXD</x:v>
      </x:c>
      <x:c r="L34" s="22" t="n">
        <x:v>1</x:v>
      </x:c>
      <x:c r="M34" s="19" t="str">
        <x:v>Drawing takeoff - reviewed</x:v>
      </x:c>
      <x:c r="N34" s="19" t="str">
        <x:v>E-301 / ES-2</x:v>
      </x:c>
    </x:row>
  </x:sheetData>
  <x:mergeCells>
    <x:mergeCell ref="A1:N1"/>
    <x:mergeCell ref="A2:N2"/>
  </x:mergeCells>
  <x:conditionalFormatting sqref="M5:M34">
    <x:cfRule type="containsText" dxfId="0" priority="1" operator="containsText" text="Pending"/>
    <x:cfRule type="containsText" dxfId="1" priority="2" operator="containsText" text="Photometric"/>
  </x:conditionalFormatting>
  <x:pageMargins left="0.7" right="0.7" top="0.75" bottom="0.75" header="0.3" footer="0.3"/>
  <x:tableParts count="1">
    <x:tablePart xmlns:r="http://schemas.openxmlformats.org/officeDocument/2006/relationships" r:id="Re5557a4f1ed948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8" hidden="0" customWidth="1"/>
  </x:cols>
  <x:sheetData>
    <x:row r="1" ht="30" customHeight="1">
      <x:c r="A1" s="2" t="str">
        <x:v>TAKEOFF STATUS</x:v>
      </x:c>
      <x:c r="B1" s="2"/>
      <x:c r="C1" s="2"/>
      <x:c r="D1" s="2"/>
      <x:c r="E1" s="2"/>
      <x:c r="F1" s="2"/>
    </x:row>
    <x:row r="3">
      <x:c r="A3" s="23" t="str">
        <x:v>Area</x:v>
      </x:c>
      <x:c r="B3" s="23" t="str">
        <x:v>Fixture types</x:v>
      </x:c>
      <x:c r="C3" s="23" t="str">
        <x:v>Qty confirmed</x:v>
      </x:c>
      <x:c r="D3" s="23" t="str">
        <x:v>Qty pending</x:v>
      </x:c>
      <x:c r="E3" s="23" t="str">
        <x:v>Confirmed units</x:v>
      </x:c>
      <x:c r="F3" s="23" t="str">
        <x:v>Primary source</x:v>
      </x:c>
    </x:row>
    <x:row r="4">
      <x:c r="A4" s="24" t="str">
        <x:v>Interior</x:v>
      </x:c>
      <x:c r="B4" s="24" t="n">
        <x:v>19</x:v>
      </x:c>
      <x:c r="C4" s="24" t="n">
        <x:v>19</x:v>
      </x:c>
      <x:c r="D4" s="24" t="n">
        <x:v>0</x:v>
      </x:c>
      <x:c r="E4" s="24" t="n">
        <x:f>SUM('Drawing Truth'!L5:L23)</x:f>
        <x:v>469</x:v>
      </x:c>
      <x:c r="F4" s="24" t="str">
        <x:v>E-200</x:v>
      </x:c>
    </x:row>
    <x:row r="5">
      <x:c r="A5" s="25" t="str">
        <x:v>Exterior</x:v>
      </x:c>
      <x:c r="B5" s="25" t="n">
        <x:v>11</x:v>
      </x:c>
      <x:c r="C5" s="25" t="n">
        <x:v>11</x:v>
      </x:c>
      <x:c r="D5" s="25" t="n">
        <x:v>0</x:v>
      </x:c>
      <x:c r="E5" s="25" t="n">
        <x:f>SUM('Drawing Truth'!L24:L34)</x:f>
        <x:v>73</x:v>
      </x:c>
      <x:c r="F5" s="25" t="str">
        <x:v>ES-2 / ES-3</x:v>
      </x:c>
    </x:row>
    <x:row r="7" ht="42" customHeight="1">
      <x:c r="A7" s="28" t="str">
        <x:v>Takeoff basis: interior labels/symbols reviewed on E-200; exterior PA/EWM/PS1 counts reconciled to the ES-3 luminaire schedule, with PS2/SS/SF reviewed on ES-2. Confirm counts during quote review before release.</x:v>
      </x:c>
      <x:c r="B7" s="28"/>
      <x:c r="C7" s="28"/>
      <x:c r="D7" s="28"/>
      <x:c r="E7" s="28"/>
      <x:c r="F7" s="28"/>
    </x:row>
  </x:sheetData>
  <x:mergeCells>
    <x:mergeCell ref="A1:F1"/>
    <x:mergeCell ref="A7:F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90" hidden="0" customWidth="1"/>
  </x:cols>
  <x:sheetData>
    <x:row r="1" ht="30" customHeight="1">
      <x:c r="A1" s="2" t="str">
        <x:v>SOURCE AND REVIEW NOTES</x:v>
      </x:c>
      <x:c r="B1" s="2"/>
      <x:c r="C1" s="2"/>
    </x:row>
    <x:row r="3" ht="15" hidden="0" customHeight="1">
      <x:c r="A3" s="6" t="str">
        <x:v>Item</x:v>
      </x:c>
      <x:c r="B3" s="6" t="str">
        <x:v>Status</x:v>
      </x:c>
      <x:c r="C3" s="6" t="str">
        <x:v>Note</x:v>
      </x:c>
    </x:row>
    <x:row r="4" ht="15" hidden="0" customHeight="1">
      <x:c r="A4" s="30" t="str">
        <x:v>Drawing set</x:v>
      </x:c>
      <x:c r="B4" s="30" t="str">
        <x:v>Confirmed</x:v>
      </x:c>
      <x:c r="C4" s="30" t="str">
        <x:v>Valley Ford of Huron Bid Set.pdf; 120 pages; project 22-VFH; bidding set dated 2026-07-30.</x:v>
      </x:c>
    </x:row>
    <x:row r="5" ht="15" hidden="0" customHeight="1">
      <x:c r="A5" s="31" t="str">
        <x:v>Sheet index discrepancy</x:v>
      </x:c>
      <x:c r="B5" s="31" t="str">
        <x:v>Review</x:v>
      </x:c>
      <x:c r="C5" s="31" t="str">
        <x:v>Cover index references E-201 for the lighting plan; the actual drawing title block is E-200.</x:v>
      </x:c>
    </x:row>
    <x:row r="6" ht="15" hidden="0" customHeight="1">
      <x:c r="A6" s="31" t="str">
        <x:v>Catalog numbers</x:v>
      </x:c>
      <x:c r="B6" s="31" t="str">
        <x:v>Drawing transcription</x:v>
      </x:c>
      <x:c r="C6" s="31" t="str">
        <x:v>Catalog strings were transcribed from E-301 and require factory/quotes-team character verification before ordering.</x:v>
      </x:c>
    </x:row>
    <x:row r="7" ht="15" hidden="0" customHeight="1">
      <x:c r="A7" s="31" t="str">
        <x:v>Interior quantities</x:v>
      </x:c>
      <x:c r="B7" s="31" t="str">
        <x:v>Takeoff complete</x:v>
      </x:c>
      <x:c r="C7" s="31" t="str">
        <x:v>Fixture labels and repeated symbols were counted on E-200 and reconciled by fixture family.</x:v>
      </x:c>
    </x:row>
    <x:row r="8" ht="15" hidden="0" customHeight="1">
      <x:c r="A8" s="31" t="str">
        <x:v>Exterior quantities</x:v>
      </x:c>
      <x:c r="B8" s="31" t="str">
        <x:v>Takeoff complete</x:v>
      </x:c>
      <x:c r="C8" s="31" t="str">
        <x:v>PA1-PA5, EWM1, EWM2 and PS1 follow ES-3; PS2, SS and SF were counted on ES-2.</x:v>
      </x:c>
    </x:row>
    <x:row r="9" ht="15" hidden="0" customHeight="1">
      <x:c r="A9" s="32" t="str">
        <x:v>Quote basis</x:v>
      </x:c>
      <x:c r="B9" s="32" t="str">
        <x:v>Specified package</x:v>
      </x:c>
      <x:c r="C9" s="32" t="str">
        <x:v>The company quote copy uses E-301 basis-of-design manufacturers/catalog strings. Alternate selections remain a sales/factory approval step.</x:v>
      </x:c>
    </x:row>
  </x:sheetData>
  <x:mergeCells>
    <x:mergeCell ref="A1:C1"/>
  </x:mergeCells>
  <x:pageMargins left="0.7" right="0.7" top="0.75" bottom="0.75" header="0.3" footer="0.3"/>
</x:worksheet>
</file>